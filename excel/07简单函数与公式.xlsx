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zimu/Documents/data-analytics/excel/"/>
    </mc:Choice>
  </mc:AlternateContent>
  <xr:revisionPtr revIDLastSave="0" documentId="13_ncr:1_{1018305D-9BF0-F044-B3B3-72BE76A88E7E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EXCEL课件" sheetId="1" r:id="rId1"/>
    <sheet name="单元格引用" sheetId="18" r:id="rId2"/>
    <sheet name="使用函数" sheetId="20" r:id="rId3"/>
    <sheet name="使用定位工具" sheetId="2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20" l="1"/>
  <c r="I18" i="20"/>
  <c r="I19" i="20"/>
  <c r="I20" i="20"/>
  <c r="I16" i="20"/>
  <c r="E17" i="20"/>
  <c r="E18" i="20"/>
  <c r="E19" i="20"/>
  <c r="E20" i="20"/>
  <c r="E16" i="20"/>
  <c r="I4" i="20"/>
  <c r="I5" i="20"/>
  <c r="I6" i="20"/>
  <c r="I7" i="20"/>
  <c r="I8" i="20"/>
  <c r="I9" i="20"/>
  <c r="I3" i="20"/>
  <c r="H12" i="20"/>
  <c r="H11" i="20"/>
  <c r="H10" i="20"/>
  <c r="G12" i="20"/>
  <c r="G11" i="20"/>
  <c r="G10" i="20"/>
  <c r="F12" i="20"/>
  <c r="E12" i="20"/>
  <c r="D12" i="20"/>
  <c r="C12" i="20"/>
  <c r="F11" i="20"/>
  <c r="E11" i="20"/>
  <c r="D11" i="20"/>
  <c r="C11" i="20"/>
  <c r="F10" i="20"/>
  <c r="E10" i="20"/>
  <c r="D10" i="20"/>
  <c r="C10" i="20"/>
  <c r="H4" i="20"/>
  <c r="H5" i="20"/>
  <c r="H6" i="20"/>
  <c r="H7" i="20"/>
  <c r="H8" i="20"/>
  <c r="H9" i="20"/>
  <c r="G4" i="20"/>
  <c r="G5" i="20"/>
  <c r="G6" i="20"/>
  <c r="G7" i="20"/>
  <c r="G8" i="20"/>
  <c r="G9" i="20"/>
  <c r="H3" i="20"/>
  <c r="G3" i="20"/>
  <c r="G5" i="18"/>
  <c r="H5" i="18"/>
  <c r="I5" i="18"/>
  <c r="J5" i="18"/>
  <c r="K5" i="18"/>
  <c r="L5" i="18"/>
  <c r="M5" i="18"/>
  <c r="N5" i="18"/>
  <c r="O5" i="18"/>
  <c r="G6" i="18"/>
  <c r="H6" i="18"/>
  <c r="I6" i="18"/>
  <c r="J6" i="18"/>
  <c r="K6" i="18"/>
  <c r="L6" i="18"/>
  <c r="M6" i="18"/>
  <c r="N6" i="18"/>
  <c r="O6" i="18"/>
  <c r="G7" i="18"/>
  <c r="H7" i="18"/>
  <c r="I7" i="18"/>
  <c r="J7" i="18"/>
  <c r="K7" i="18"/>
  <c r="L7" i="18"/>
  <c r="M7" i="18"/>
  <c r="N7" i="18"/>
  <c r="O7" i="18"/>
  <c r="G8" i="18"/>
  <c r="H8" i="18"/>
  <c r="I8" i="18"/>
  <c r="J8" i="18"/>
  <c r="K8" i="18"/>
  <c r="L8" i="18"/>
  <c r="M8" i="18"/>
  <c r="N8" i="18"/>
  <c r="O8" i="18"/>
  <c r="G9" i="18"/>
  <c r="H9" i="18"/>
  <c r="I9" i="18"/>
  <c r="J9" i="18"/>
  <c r="K9" i="18"/>
  <c r="L9" i="18"/>
  <c r="M9" i="18"/>
  <c r="N9" i="18"/>
  <c r="O9" i="18"/>
  <c r="G10" i="18"/>
  <c r="H10" i="18"/>
  <c r="I10" i="18"/>
  <c r="J10" i="18"/>
  <c r="K10" i="18"/>
  <c r="L10" i="18"/>
  <c r="M10" i="18"/>
  <c r="N10" i="18"/>
  <c r="O10" i="18"/>
  <c r="G11" i="18"/>
  <c r="H11" i="18"/>
  <c r="I11" i="18"/>
  <c r="J11" i="18"/>
  <c r="K11" i="18"/>
  <c r="L11" i="18"/>
  <c r="M11" i="18"/>
  <c r="N11" i="18"/>
  <c r="O11" i="18"/>
  <c r="G12" i="18"/>
  <c r="H12" i="18"/>
  <c r="I12" i="18"/>
  <c r="J12" i="18"/>
  <c r="K12" i="18"/>
  <c r="L12" i="18"/>
  <c r="M12" i="18"/>
  <c r="N12" i="18"/>
  <c r="O12" i="18"/>
  <c r="H4" i="18"/>
  <c r="I4" i="18"/>
  <c r="J4" i="18"/>
  <c r="K4" i="18"/>
  <c r="L4" i="18"/>
  <c r="M4" i="18"/>
  <c r="N4" i="18"/>
  <c r="O4" i="18"/>
  <c r="G4" i="18"/>
  <c r="D4" i="18"/>
  <c r="D5" i="18"/>
  <c r="D6" i="18"/>
  <c r="D7" i="18"/>
  <c r="D3" i="18"/>
  <c r="P6" i="20"/>
</calcChain>
</file>

<file path=xl/sharedStrings.xml><?xml version="1.0" encoding="utf-8"?>
<sst xmlns="http://schemas.openxmlformats.org/spreadsheetml/2006/main" count="116" uniqueCount="109">
  <si>
    <t>一、</t>
    <phoneticPr fontId="1" type="noConversion"/>
  </si>
  <si>
    <t>二、</t>
    <phoneticPr fontId="1" type="noConversion"/>
  </si>
  <si>
    <t>数量</t>
  </si>
  <si>
    <t>金额</t>
    <phoneticPr fontId="7" type="noConversion"/>
  </si>
  <si>
    <t>宠物用品</t>
  </si>
  <si>
    <t>认识Excel公式</t>
    <phoneticPr fontId="1" type="noConversion"/>
  </si>
  <si>
    <t>1、运算符</t>
    <phoneticPr fontId="1" type="noConversion"/>
  </si>
  <si>
    <t>算术运算符+ - * / % &amp; ^</t>
    <phoneticPr fontId="1" type="noConversion"/>
  </si>
  <si>
    <t>比较运算符= &gt; &lt; &gt;= &lt;= &lt;&gt;</t>
    <phoneticPr fontId="1" type="noConversion"/>
  </si>
  <si>
    <t>3、运算符优先级</t>
    <phoneticPr fontId="1" type="noConversion"/>
  </si>
  <si>
    <t>－</t>
  </si>
  <si>
    <t>负号</t>
  </si>
  <si>
    <t>%</t>
  </si>
  <si>
    <t>百分比</t>
  </si>
  <si>
    <t>^</t>
  </si>
  <si>
    <t>求幂</t>
  </si>
  <si>
    <t>* /</t>
  </si>
  <si>
    <t>乘和除</t>
  </si>
  <si>
    <t>+ -</t>
  </si>
  <si>
    <t>加和减</t>
  </si>
  <si>
    <t>&amp;</t>
  </si>
  <si>
    <t>文本连接</t>
  </si>
  <si>
    <t>=,&lt;,&gt;,&lt;=,&gt;=,&lt;&gt;</t>
  </si>
  <si>
    <t>比较</t>
  </si>
  <si>
    <t>4、单元格引用</t>
    <phoneticPr fontId="1" type="noConversion"/>
  </si>
  <si>
    <t>2、公式中的比较判断</t>
    <phoneticPr fontId="1" type="noConversion"/>
  </si>
  <si>
    <t>认识函数</t>
    <phoneticPr fontId="1" type="noConversion"/>
  </si>
  <si>
    <t>1、如何使用函数</t>
    <phoneticPr fontId="1" type="noConversion"/>
  </si>
  <si>
    <t>等号开头</t>
    <phoneticPr fontId="1" type="noConversion"/>
  </si>
  <si>
    <t>函数名在中间</t>
    <phoneticPr fontId="1" type="noConversion"/>
  </si>
  <si>
    <t>括号结尾</t>
    <phoneticPr fontId="1" type="noConversion"/>
  </si>
  <si>
    <t>括号中间写参数</t>
    <phoneticPr fontId="1" type="noConversion"/>
  </si>
  <si>
    <t>SUM</t>
    <phoneticPr fontId="1" type="noConversion"/>
  </si>
  <si>
    <t>AVERAGE</t>
    <phoneticPr fontId="1" type="noConversion"/>
  </si>
  <si>
    <t>MIN</t>
    <phoneticPr fontId="1" type="noConversion"/>
  </si>
  <si>
    <t>MAX</t>
    <phoneticPr fontId="1" type="noConversion"/>
  </si>
  <si>
    <t>求和</t>
    <phoneticPr fontId="1" type="noConversion"/>
  </si>
  <si>
    <t>求平均</t>
    <phoneticPr fontId="1" type="noConversion"/>
  </si>
  <si>
    <t>求最小</t>
    <phoneticPr fontId="1" type="noConversion"/>
  </si>
  <si>
    <t>求最大</t>
    <phoneticPr fontId="1" type="noConversion"/>
  </si>
  <si>
    <t>RANK</t>
    <phoneticPr fontId="1" type="noConversion"/>
  </si>
  <si>
    <t>排名</t>
    <phoneticPr fontId="1" type="noConversion"/>
  </si>
  <si>
    <t>日期</t>
    <phoneticPr fontId="1" type="noConversion"/>
  </si>
  <si>
    <t>库存</t>
    <phoneticPr fontId="1" type="noConversion"/>
  </si>
  <si>
    <t>例：九九乘法表（只计算得数）</t>
    <phoneticPr fontId="1" type="noConversion"/>
  </si>
  <si>
    <t>混合引用</t>
    <phoneticPr fontId="1" type="noConversion"/>
  </si>
  <si>
    <t>相对与绝对引用</t>
    <phoneticPr fontId="7" type="noConversion"/>
  </si>
  <si>
    <t xml:space="preserve">     学科     姓名</t>
    <phoneticPr fontId="1" type="noConversion"/>
  </si>
  <si>
    <t>数学</t>
    <phoneticPr fontId="1" type="noConversion"/>
  </si>
  <si>
    <t>语文</t>
    <phoneticPr fontId="1" type="noConversion"/>
  </si>
  <si>
    <t>英语</t>
    <phoneticPr fontId="1" type="noConversion"/>
  </si>
  <si>
    <t>化学</t>
    <phoneticPr fontId="1" type="noConversion"/>
  </si>
  <si>
    <t>李明</t>
    <phoneticPr fontId="1" type="noConversion"/>
  </si>
  <si>
    <t>王小二</t>
    <phoneticPr fontId="1" type="noConversion"/>
  </si>
  <si>
    <t>郑准</t>
    <phoneticPr fontId="1" type="noConversion"/>
  </si>
  <si>
    <t>张大民</t>
    <phoneticPr fontId="1" type="noConversion"/>
  </si>
  <si>
    <t>李节</t>
    <phoneticPr fontId="1" type="noConversion"/>
  </si>
  <si>
    <t>阮大</t>
    <phoneticPr fontId="1" type="noConversion"/>
  </si>
  <si>
    <t>孔庙</t>
    <phoneticPr fontId="1" type="noConversion"/>
  </si>
  <si>
    <t>平均分</t>
    <phoneticPr fontId="7" type="noConversion"/>
  </si>
  <si>
    <t>名次</t>
    <phoneticPr fontId="7" type="noConversion"/>
  </si>
  <si>
    <t>单价</t>
    <phoneticPr fontId="7" type="noConversion"/>
  </si>
  <si>
    <t>而()包裹代表优先级顺序</t>
    <phoneticPr fontId="1" type="noConversion"/>
  </si>
  <si>
    <t>总分</t>
    <phoneticPr fontId="7" type="noConversion"/>
  </si>
  <si>
    <t>最高分</t>
    <phoneticPr fontId="7" type="noConversion"/>
  </si>
  <si>
    <t>最低分</t>
    <phoneticPr fontId="7" type="noConversion"/>
  </si>
  <si>
    <t>021</t>
  </si>
  <si>
    <t>0519</t>
  </si>
  <si>
    <t>020</t>
  </si>
  <si>
    <t>0512</t>
  </si>
  <si>
    <t>010</t>
  </si>
  <si>
    <t>完整电话号码</t>
  </si>
  <si>
    <t>电话号码</t>
  </si>
  <si>
    <t>区号</t>
  </si>
  <si>
    <t>睡袋</t>
  </si>
  <si>
    <t>暖靴</t>
  </si>
  <si>
    <t>警告标</t>
  </si>
  <si>
    <t>服装</t>
  </si>
  <si>
    <t>利润率</t>
  </si>
  <si>
    <t>成本</t>
  </si>
  <si>
    <t>金额</t>
  </si>
  <si>
    <t>产品类别</t>
  </si>
  <si>
    <t>A</t>
  </si>
  <si>
    <t>计划销售额</t>
  </si>
  <si>
    <t>折扣</t>
  </si>
  <si>
    <t>计划销量</t>
  </si>
  <si>
    <t>单价</t>
  </si>
  <si>
    <t>品类</t>
  </si>
  <si>
    <t>利用单变量求解工具计算折扣：折扣达到多少，计划销售额才能达到180000。</t>
  </si>
  <si>
    <t>数据-模拟分析-单变量求解 要求计算公式可反推过程</t>
    <phoneticPr fontId="1" type="noConversion"/>
  </si>
  <si>
    <t>单元格中第一个=号是告诉excel接下来所写是公式运算</t>
    <phoneticPr fontId="1" type="noConversion"/>
  </si>
  <si>
    <t>比较运算符的结果：TRUE FALSE</t>
    <phoneticPr fontId="1" type="noConversion"/>
  </si>
  <si>
    <t>比较运算符结果 参与计算可以强制转换数值类型</t>
    <phoneticPr fontId="1" type="noConversion"/>
  </si>
  <si>
    <t>相对引用：A1 相对引用是上下左右填充单元格时递增数值</t>
    <phoneticPr fontId="1" type="noConversion"/>
  </si>
  <si>
    <t>绝对引用：$A$1 锁定单元格F4快捷键切换绝对引用</t>
    <phoneticPr fontId="1" type="noConversion"/>
  </si>
  <si>
    <t>混合引用：$A1 A$1 混合引用适用于横向与纵向同时计算时</t>
    <phoneticPr fontId="1" type="noConversion"/>
  </si>
  <si>
    <t>计数纯数字</t>
    <phoneticPr fontId="1" type="noConversion"/>
  </si>
  <si>
    <t>COUNT</t>
    <phoneticPr fontId="1" type="noConversion"/>
  </si>
  <si>
    <t>COUNTA</t>
    <phoneticPr fontId="1" type="noConversion"/>
  </si>
  <si>
    <t>可计数文本</t>
    <phoneticPr fontId="1" type="noConversion"/>
  </si>
  <si>
    <t>入库</t>
    <phoneticPr fontId="7" type="noConversion"/>
  </si>
  <si>
    <t>2、基础函数</t>
    <phoneticPr fontId="1" type="noConversion"/>
  </si>
  <si>
    <t>3、合并单元格无法拖拽下拉公式</t>
    <phoneticPr fontId="1" type="noConversion"/>
  </si>
  <si>
    <t>定位条件空值-编写公式-ctrl+enter批量填充</t>
    <phoneticPr fontId="1" type="noConversion"/>
  </si>
  <si>
    <t>&lt;&gt;属于不等于 例如&lt;&gt;""</t>
    <phoneticPr fontId="1" type="noConversion"/>
  </si>
  <si>
    <t>4、函数参数与个数限制</t>
    <phoneticPr fontId="1" type="noConversion"/>
  </si>
  <si>
    <t>公式允许的嵌套层数为64个</t>
    <phoneticPr fontId="1" type="noConversion"/>
  </si>
  <si>
    <t>Excel 2010中的函数参数个数限制为255个</t>
    <phoneticPr fontId="1" type="noConversion"/>
  </si>
  <si>
    <t>在Excel 2003版中仅为30个参数、7层嵌套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</si>
</sst>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_ "/>
    <numFmt numFmtId="177" formatCode="#,##0_ "/>
    <numFmt numFmtId="178" formatCode="0.0_ "/>
  </numFmts>
  <fonts count="21">
    <font>
      <sz val="12"/>
      <name val="宋体"/>
      <charset val="134"/>
    </font>
    <font>
      <sz val="9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"/>
      <name val="Arial"/>
      <family val="2"/>
    </font>
    <font>
      <sz val="10"/>
      <color rgb="FFFF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0"/>
      <color theme="0"/>
      <name val="宋体"/>
      <family val="3"/>
      <charset val="134"/>
    </font>
    <font>
      <sz val="11"/>
      <color theme="1"/>
      <name val="宋体"/>
      <family val="4"/>
      <charset val="134"/>
      <scheme val="minor"/>
    </font>
    <font>
      <sz val="12"/>
      <name val="宋体"/>
      <family val="3"/>
      <charset val="134"/>
    </font>
    <font>
      <sz val="10"/>
      <color theme="3" tint="-0.249977111117893"/>
      <name val="宋体"/>
      <family val="3"/>
      <charset val="134"/>
    </font>
    <font>
      <sz val="11"/>
      <color theme="0"/>
      <name val="宋体"/>
      <family val="3"/>
      <charset val="134"/>
    </font>
    <font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0"/>
      <name val="宋体"/>
      <family val="3"/>
      <charset val="134"/>
    </font>
    <font>
      <sz val="10"/>
      <color theme="3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rgb="FF1FBB7D"/>
      </left>
      <right style="dashed">
        <color rgb="FF1FBB7D"/>
      </right>
      <top style="dashed">
        <color rgb="FF1FBB7D"/>
      </top>
      <bottom style="thin">
        <color rgb="FF1FBB7D"/>
      </bottom>
      <diagonal/>
    </border>
    <border>
      <left style="thin">
        <color rgb="FF1FBB7D"/>
      </left>
      <right style="dashed">
        <color rgb="FF1FBB7D"/>
      </right>
      <top style="dashed">
        <color rgb="FF1FBB7D"/>
      </top>
      <bottom style="thin">
        <color rgb="FF1FBB7D"/>
      </bottom>
      <diagonal/>
    </border>
    <border>
      <left style="dashed">
        <color rgb="FF1FBB7D"/>
      </left>
      <right style="thin">
        <color rgb="FF1FBB7D"/>
      </right>
      <top style="dashed">
        <color rgb="FF1FBB7D"/>
      </top>
      <bottom style="dashed">
        <color rgb="FF1FBB7D"/>
      </bottom>
      <diagonal/>
    </border>
    <border>
      <left style="dashed">
        <color rgb="FF1FBB7D"/>
      </left>
      <right style="dashed">
        <color rgb="FF1FBB7D"/>
      </right>
      <top style="dashed">
        <color rgb="FF1FBB7D"/>
      </top>
      <bottom style="dashed">
        <color rgb="FF1FBB7D"/>
      </bottom>
      <diagonal/>
    </border>
    <border>
      <left style="thin">
        <color rgb="FF1FBB7D"/>
      </left>
      <right style="dashed">
        <color rgb="FF1FBB7D"/>
      </right>
      <top style="dashed">
        <color rgb="FF1FBB7D"/>
      </top>
      <bottom style="dashed">
        <color rgb="FF1FBB7D"/>
      </bottom>
      <diagonal/>
    </border>
    <border>
      <left style="dashed">
        <color rgb="FF1FBB7D"/>
      </left>
      <right style="thin">
        <color rgb="FF1FBB7D"/>
      </right>
      <top style="thin">
        <color rgb="FF1FBB7D"/>
      </top>
      <bottom style="dashed">
        <color rgb="FF1FBB7D"/>
      </bottom>
      <diagonal/>
    </border>
    <border>
      <left style="dashed">
        <color rgb="FF1FBB7D"/>
      </left>
      <right style="dashed">
        <color rgb="FF1FBB7D"/>
      </right>
      <top style="thin">
        <color rgb="FF1FBB7D"/>
      </top>
      <bottom style="dashed">
        <color rgb="FF1FBB7D"/>
      </bottom>
      <diagonal/>
    </border>
    <border>
      <left style="thin">
        <color rgb="FF1FBB7D"/>
      </left>
      <right style="dashed">
        <color rgb="FF1FBB7D"/>
      </right>
      <top style="thin">
        <color rgb="FF1FBB7D"/>
      </top>
      <bottom style="dashed">
        <color rgb="FF1FBB7D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 diagonalDown="1">
      <left style="thin">
        <color rgb="FF00B050"/>
      </left>
      <right style="dashed">
        <color rgb="FF00B050"/>
      </right>
      <top style="thin">
        <color rgb="FF00B050"/>
      </top>
      <bottom style="dashed">
        <color rgb="FF00B050"/>
      </bottom>
      <diagonal style="thin">
        <color theme="0"/>
      </diagonal>
    </border>
    <border>
      <left style="dashed">
        <color rgb="FF00B050"/>
      </left>
      <right style="dashed">
        <color rgb="FF00B050"/>
      </right>
      <top style="thin">
        <color rgb="FF00B050"/>
      </top>
      <bottom style="dashed">
        <color rgb="FF00B050"/>
      </bottom>
      <diagonal/>
    </border>
    <border>
      <left style="dashed">
        <color rgb="FF00B050"/>
      </left>
      <right style="thin">
        <color rgb="FF00B050"/>
      </right>
      <top style="thin">
        <color rgb="FF00B050"/>
      </top>
      <bottom style="dashed">
        <color rgb="FF00B050"/>
      </bottom>
      <diagonal/>
    </border>
    <border>
      <left style="thin">
        <color rgb="FF00B050"/>
      </left>
      <right style="dashed">
        <color rgb="FF00B050"/>
      </right>
      <top style="dashed">
        <color rgb="FF00B050"/>
      </top>
      <bottom style="dashed">
        <color rgb="FF00B050"/>
      </bottom>
      <diagonal/>
    </border>
    <border>
      <left style="dashed">
        <color rgb="FF00B050"/>
      </left>
      <right style="dashed">
        <color rgb="FF00B050"/>
      </right>
      <top style="dashed">
        <color rgb="FF00B050"/>
      </top>
      <bottom style="dashed">
        <color rgb="FF00B050"/>
      </bottom>
      <diagonal/>
    </border>
    <border>
      <left style="dashed">
        <color rgb="FF00B050"/>
      </left>
      <right style="thin">
        <color rgb="FF00B050"/>
      </right>
      <top style="dashed">
        <color rgb="FF00B050"/>
      </top>
      <bottom style="dashed">
        <color rgb="FF00B050"/>
      </bottom>
      <diagonal/>
    </border>
    <border>
      <left style="thin">
        <color rgb="FF00B050"/>
      </left>
      <right style="dashed">
        <color rgb="FF00B050"/>
      </right>
      <top style="dashed">
        <color rgb="FF00B050"/>
      </top>
      <bottom style="thin">
        <color rgb="FF00B050"/>
      </bottom>
      <diagonal/>
    </border>
    <border>
      <left style="dashed">
        <color rgb="FF00B050"/>
      </left>
      <right style="dashed">
        <color rgb="FF00B050"/>
      </right>
      <top style="dashed">
        <color rgb="FF00B050"/>
      </top>
      <bottom style="thin">
        <color rgb="FF00B050"/>
      </bottom>
      <diagonal/>
    </border>
    <border>
      <left style="dashed">
        <color rgb="FF00B050"/>
      </left>
      <right style="thin">
        <color rgb="FF00B050"/>
      </right>
      <top style="dashed">
        <color rgb="FF00B050"/>
      </top>
      <bottom style="thin">
        <color rgb="FF00B050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9" fillId="0" borderId="0"/>
    <xf numFmtId="0" fontId="11" fillId="0" borderId="0">
      <alignment vertical="center"/>
    </xf>
    <xf numFmtId="0" fontId="9" fillId="0" borderId="0"/>
    <xf numFmtId="0" fontId="13" fillId="0" borderId="0"/>
    <xf numFmtId="9" fontId="14" fillId="0" borderId="0" applyFont="0" applyFill="0" applyBorder="0" applyAlignment="0" applyProtection="0">
      <alignment vertical="center"/>
    </xf>
  </cellStyleXfs>
  <cellXfs count="61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2" fillId="0" borderId="0" xfId="1" applyAlignment="1" applyProtection="1">
      <protection locked="0"/>
    </xf>
    <xf numFmtId="0" fontId="5" fillId="0" borderId="0" xfId="0" applyFont="1" applyProtection="1">
      <protection locked="0"/>
    </xf>
    <xf numFmtId="0" fontId="3" fillId="0" borderId="2" xfId="0" applyFont="1" applyBorder="1"/>
    <xf numFmtId="0" fontId="3" fillId="0" borderId="0" xfId="0" applyFont="1" applyAlignment="1">
      <alignment horizontal="left"/>
    </xf>
    <xf numFmtId="0" fontId="3" fillId="0" borderId="0" xfId="0" applyFont="1"/>
    <xf numFmtId="14" fontId="3" fillId="0" borderId="2" xfId="0" applyNumberFormat="1" applyFont="1" applyBorder="1"/>
    <xf numFmtId="0" fontId="10" fillId="0" borderId="0" xfId="0" applyFont="1" applyProtection="1">
      <protection locked="0"/>
    </xf>
    <xf numFmtId="0" fontId="3" fillId="0" borderId="2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3" fillId="2" borderId="2" xfId="0" applyFont="1" applyFill="1" applyBorder="1"/>
    <xf numFmtId="14" fontId="12" fillId="3" borderId="0" xfId="0" applyNumberFormat="1" applyFont="1" applyFill="1"/>
    <xf numFmtId="0" fontId="3" fillId="3" borderId="0" xfId="0" applyFont="1" applyFill="1"/>
    <xf numFmtId="0" fontId="12" fillId="3" borderId="0" xfId="0" applyFont="1" applyFill="1"/>
    <xf numFmtId="177" fontId="12" fillId="3" borderId="2" xfId="2" applyNumberFormat="1" applyFont="1" applyFill="1" applyBorder="1" applyAlignment="1">
      <alignment horizontal="center" vertical="center" wrapText="1"/>
    </xf>
    <xf numFmtId="176" fontId="12" fillId="3" borderId="2" xfId="2" applyNumberFormat="1" applyFont="1" applyFill="1" applyBorder="1" applyAlignment="1">
      <alignment horizontal="center" vertical="center" wrapText="1"/>
    </xf>
    <xf numFmtId="0" fontId="12" fillId="3" borderId="17" xfId="4" applyFont="1" applyFill="1" applyBorder="1" applyAlignment="1">
      <alignment vertical="top" wrapText="1"/>
    </xf>
    <xf numFmtId="0" fontId="12" fillId="3" borderId="18" xfId="4" applyFont="1" applyFill="1" applyBorder="1" applyAlignment="1">
      <alignment horizontal="center" vertical="center"/>
    </xf>
    <xf numFmtId="0" fontId="12" fillId="3" borderId="19" xfId="4" applyFont="1" applyFill="1" applyBorder="1" applyAlignment="1">
      <alignment horizontal="center" vertical="center"/>
    </xf>
    <xf numFmtId="0" fontId="3" fillId="0" borderId="20" xfId="4" applyFont="1" applyBorder="1"/>
    <xf numFmtId="178" fontId="3" fillId="0" borderId="21" xfId="4" applyNumberFormat="1" applyFont="1" applyBorder="1"/>
    <xf numFmtId="0" fontId="3" fillId="0" borderId="23" xfId="4" applyFont="1" applyBorder="1"/>
    <xf numFmtId="0" fontId="15" fillId="0" borderId="0" xfId="0" applyFont="1" applyProtection="1">
      <protection locked="0"/>
    </xf>
    <xf numFmtId="0" fontId="15" fillId="0" borderId="0" xfId="0" applyFont="1"/>
    <xf numFmtId="178" fontId="3" fillId="0" borderId="21" xfId="0" applyNumberFormat="1" applyFont="1" applyBorder="1"/>
    <xf numFmtId="0" fontId="3" fillId="0" borderId="22" xfId="0" applyFont="1" applyBorder="1"/>
    <xf numFmtId="178" fontId="3" fillId="0" borderId="24" xfId="0" applyNumberFormat="1" applyFont="1" applyBorder="1"/>
    <xf numFmtId="0" fontId="3" fillId="0" borderId="25" xfId="0" applyFont="1" applyBorder="1"/>
    <xf numFmtId="0" fontId="3" fillId="0" borderId="7" xfId="5" applyFont="1" applyBorder="1" applyAlignment="1"/>
    <xf numFmtId="0" fontId="3" fillId="0" borderId="6" xfId="5" applyFont="1" applyBorder="1" applyAlignment="1"/>
    <xf numFmtId="0" fontId="3" fillId="0" borderId="4" xfId="5" applyFont="1" applyBorder="1" applyAlignment="1"/>
    <xf numFmtId="0" fontId="3" fillId="0" borderId="3" xfId="5" applyFont="1" applyBorder="1" applyAlignment="1"/>
    <xf numFmtId="0" fontId="8" fillId="0" borderId="0" xfId="0" applyFont="1"/>
    <xf numFmtId="0" fontId="18" fillId="0" borderId="0" xfId="5" applyFont="1">
      <alignment vertical="center"/>
    </xf>
    <xf numFmtId="0" fontId="16" fillId="3" borderId="16" xfId="5" applyFont="1" applyFill="1" applyBorder="1">
      <alignment vertical="center"/>
    </xf>
    <xf numFmtId="0" fontId="16" fillId="3" borderId="15" xfId="5" applyFont="1" applyFill="1" applyBorder="1" applyAlignment="1">
      <alignment horizontal="center" vertical="center"/>
    </xf>
    <xf numFmtId="0" fontId="16" fillId="3" borderId="15" xfId="5" applyFont="1" applyFill="1" applyBorder="1">
      <alignment vertical="center"/>
    </xf>
    <xf numFmtId="0" fontId="16" fillId="3" borderId="14" xfId="5" applyFont="1" applyFill="1" applyBorder="1">
      <alignment vertical="center"/>
    </xf>
    <xf numFmtId="0" fontId="17" fillId="0" borderId="13" xfId="5" applyFont="1" applyBorder="1">
      <alignment vertical="center"/>
    </xf>
    <xf numFmtId="0" fontId="17" fillId="0" borderId="12" xfId="5" applyFont="1" applyBorder="1">
      <alignment vertical="center"/>
    </xf>
    <xf numFmtId="0" fontId="17" fillId="0" borderId="11" xfId="5" applyFont="1" applyBorder="1">
      <alignment vertical="center"/>
    </xf>
    <xf numFmtId="0" fontId="16" fillId="3" borderId="10" xfId="5" applyFont="1" applyFill="1" applyBorder="1" applyAlignment="1">
      <alignment horizontal="center" vertical="center"/>
    </xf>
    <xf numFmtId="0" fontId="16" fillId="3" borderId="9" xfId="5" applyFont="1" applyFill="1" applyBorder="1" applyAlignment="1">
      <alignment horizontal="center" vertical="center"/>
    </xf>
    <xf numFmtId="49" fontId="3" fillId="0" borderId="7" xfId="5" applyNumberFormat="1" applyFont="1" applyBorder="1" applyAlignment="1"/>
    <xf numFmtId="49" fontId="3" fillId="0" borderId="4" xfId="5" applyNumberFormat="1" applyFont="1" applyBorder="1" applyAlignment="1"/>
    <xf numFmtId="0" fontId="19" fillId="3" borderId="10" xfId="5" applyFont="1" applyFill="1" applyBorder="1">
      <alignment vertical="center"/>
    </xf>
    <xf numFmtId="0" fontId="19" fillId="3" borderId="9" xfId="5" applyFont="1" applyFill="1" applyBorder="1">
      <alignment vertical="center"/>
    </xf>
    <xf numFmtId="0" fontId="19" fillId="3" borderId="9" xfId="5" applyFont="1" applyFill="1" applyBorder="1" applyAlignment="1">
      <alignment vertical="top" wrapText="1"/>
    </xf>
    <xf numFmtId="0" fontId="19" fillId="3" borderId="8" xfId="5" applyFont="1" applyFill="1" applyBorder="1" applyAlignment="1">
      <alignment vertical="top" wrapText="1"/>
    </xf>
    <xf numFmtId="10" fontId="18" fillId="0" borderId="5" xfId="8" applyNumberFormat="1" applyFont="1" applyBorder="1">
      <alignment vertical="center"/>
    </xf>
    <xf numFmtId="0" fontId="3" fillId="0" borderId="2" xfId="0" applyFont="1" applyBorder="1" applyAlignment="1">
      <alignment horizontal="left"/>
    </xf>
    <xf numFmtId="0" fontId="3" fillId="0" borderId="6" xfId="5" applyFont="1" applyBorder="1" applyAlignment="1">
      <alignment horizontal="center"/>
    </xf>
    <xf numFmtId="0" fontId="3" fillId="0" borderId="5" xfId="5" applyFont="1" applyBorder="1" applyAlignment="1">
      <alignment horizontal="center"/>
    </xf>
    <xf numFmtId="0" fontId="16" fillId="3" borderId="9" xfId="5" applyFont="1" applyFill="1" applyBorder="1" applyAlignment="1">
      <alignment horizontal="center" vertical="top" wrapText="1"/>
    </xf>
    <xf numFmtId="0" fontId="16" fillId="3" borderId="8" xfId="5" applyFont="1" applyFill="1" applyBorder="1" applyAlignment="1">
      <alignment horizontal="center" vertical="top" wrapText="1"/>
    </xf>
    <xf numFmtId="0" fontId="20" fillId="0" borderId="0" xfId="0" applyFont="1" applyProtection="1">
      <protection locked="0"/>
    </xf>
  </cellXfs>
  <cellStyles count="9">
    <cellStyle name="百分比" xfId="8" builtinId="5"/>
    <cellStyle name="常规" xfId="0" builtinId="0"/>
    <cellStyle name="常规 2" xfId="5" xr:uid="{CA51302F-000E-2A40-9F80-D67061F0F0BD}"/>
    <cellStyle name="常规 2 2" xfId="6" xr:uid="{31A22DE3-2C33-9247-AF2C-B961C1C8C0D0}"/>
    <cellStyle name="常规 3" xfId="3" xr:uid="{00000000-0005-0000-0000-000001000000}"/>
    <cellStyle name="常规 4" xfId="7" xr:uid="{EE368F52-E9A6-CC44-8579-6721E200A11C}"/>
    <cellStyle name="常规_Sheet1" xfId="2" xr:uid="{00000000-0005-0000-0000-000002000000}"/>
    <cellStyle name="常规_函数练习事例" xfId="4" xr:uid="{00000000-0005-0000-0000-000003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2:H59"/>
  <sheetViews>
    <sheetView tabSelected="1" topLeftCell="A34" zoomScale="150" zoomScaleNormal="150" workbookViewId="0">
      <selection activeCell="F46" sqref="F46"/>
    </sheetView>
  </sheetViews>
  <sheetFormatPr baseColWidth="10" defaultColWidth="9" defaultRowHeight="15"/>
  <cols>
    <col min="1" max="3" width="9" style="1"/>
    <col min="4" max="4" width="16.6640625" style="1" bestFit="1" customWidth="1"/>
    <col min="5" max="6" width="9" style="1"/>
    <col min="7" max="8" width="9.33203125" style="1" bestFit="1" customWidth="1"/>
    <col min="9" max="16384" width="9" style="1"/>
  </cols>
  <sheetData>
    <row r="2" spans="1:3" s="2" customFormat="1" ht="16" thickBot="1"/>
    <row r="3" spans="1:3" ht="16" thickTop="1"/>
    <row r="4" spans="1:3" s="3" customFormat="1" ht="14">
      <c r="A4" s="3" t="s">
        <v>0</v>
      </c>
      <c r="B4" s="7" t="s">
        <v>5</v>
      </c>
    </row>
    <row r="5" spans="1:3" s="3" customFormat="1" ht="14"/>
    <row r="6" spans="1:3" s="3" customFormat="1" ht="14">
      <c r="B6" s="3" t="s">
        <v>6</v>
      </c>
    </row>
    <row r="7" spans="1:3" s="3" customFormat="1" ht="14">
      <c r="C7" s="27" t="s">
        <v>90</v>
      </c>
    </row>
    <row r="8" spans="1:3" s="3" customFormat="1" ht="14">
      <c r="C8" s="27" t="s">
        <v>7</v>
      </c>
    </row>
    <row r="9" spans="1:3" s="3" customFormat="1" ht="14">
      <c r="C9" s="27" t="s">
        <v>8</v>
      </c>
    </row>
    <row r="10" spans="1:3" s="3" customFormat="1" ht="14">
      <c r="C10" s="27" t="s">
        <v>62</v>
      </c>
    </row>
    <row r="11" spans="1:3" s="3" customFormat="1" ht="14">
      <c r="C11" s="27" t="s">
        <v>92</v>
      </c>
    </row>
    <row r="12" spans="1:3" s="3" customFormat="1" ht="14">
      <c r="C12" s="27" t="s">
        <v>89</v>
      </c>
    </row>
    <row r="13" spans="1:3" s="3" customFormat="1" ht="14"/>
    <row r="14" spans="1:3" s="3" customFormat="1" ht="14">
      <c r="B14" s="3" t="s">
        <v>25</v>
      </c>
    </row>
    <row r="15" spans="1:3" s="3" customFormat="1" ht="14">
      <c r="C15" s="27" t="s">
        <v>91</v>
      </c>
    </row>
    <row r="16" spans="1:3" s="3" customFormat="1" ht="14"/>
    <row r="17" spans="2:8" s="3" customFormat="1" ht="14">
      <c r="B17" s="3" t="s">
        <v>9</v>
      </c>
    </row>
    <row r="18" spans="2:8" s="3" customFormat="1" ht="14">
      <c r="B18" s="55" t="s">
        <v>10</v>
      </c>
      <c r="C18" s="55"/>
      <c r="D18" s="8" t="s">
        <v>11</v>
      </c>
    </row>
    <row r="19" spans="2:8" s="3" customFormat="1" ht="14">
      <c r="B19" s="55" t="s">
        <v>12</v>
      </c>
      <c r="C19" s="55"/>
      <c r="D19" s="8" t="s">
        <v>13</v>
      </c>
    </row>
    <row r="20" spans="2:8" s="3" customFormat="1" ht="14">
      <c r="B20" s="55" t="s">
        <v>14</v>
      </c>
      <c r="C20" s="55"/>
      <c r="D20" s="8" t="s">
        <v>15</v>
      </c>
    </row>
    <row r="21" spans="2:8" s="3" customFormat="1" ht="14">
      <c r="B21" s="55" t="s">
        <v>16</v>
      </c>
      <c r="C21" s="55"/>
      <c r="D21" s="8" t="s">
        <v>17</v>
      </c>
    </row>
    <row r="22" spans="2:8" s="3" customFormat="1" ht="14">
      <c r="B22" s="55" t="s">
        <v>18</v>
      </c>
      <c r="C22" s="55"/>
      <c r="D22" s="8" t="s">
        <v>19</v>
      </c>
    </row>
    <row r="23" spans="2:8" s="3" customFormat="1" ht="14">
      <c r="B23" s="55" t="s">
        <v>20</v>
      </c>
      <c r="C23" s="55"/>
      <c r="D23" s="8" t="s">
        <v>21</v>
      </c>
    </row>
    <row r="24" spans="2:8" s="3" customFormat="1" ht="14">
      <c r="B24" s="55" t="s">
        <v>22</v>
      </c>
      <c r="C24" s="55"/>
      <c r="D24" s="8" t="s">
        <v>23</v>
      </c>
    </row>
    <row r="25" spans="2:8" s="3" customFormat="1" ht="14">
      <c r="B25" s="9"/>
      <c r="C25" s="9"/>
      <c r="D25" s="10"/>
    </row>
    <row r="26" spans="2:8" s="3" customFormat="1" ht="14">
      <c r="B26" s="9"/>
      <c r="C26" s="27" t="s">
        <v>104</v>
      </c>
      <c r="D26" s="10"/>
    </row>
    <row r="27" spans="2:8" s="3" customFormat="1" ht="14">
      <c r="B27" s="9"/>
      <c r="C27" s="9"/>
      <c r="D27" s="10"/>
    </row>
    <row r="28" spans="2:8" s="3" customFormat="1" ht="14">
      <c r="B28" s="3" t="s">
        <v>24</v>
      </c>
    </row>
    <row r="29" spans="2:8" s="3" customFormat="1" ht="14">
      <c r="C29" s="27" t="s">
        <v>93</v>
      </c>
    </row>
    <row r="30" spans="2:8" s="3" customFormat="1" ht="14">
      <c r="C30" s="27" t="s">
        <v>94</v>
      </c>
    </row>
    <row r="31" spans="2:8" s="3" customFormat="1" ht="14">
      <c r="C31" s="27" t="s">
        <v>95</v>
      </c>
      <c r="H31" s="12"/>
    </row>
    <row r="32" spans="2:8" s="3" customFormat="1" ht="14"/>
    <row r="33" spans="1:4" s="3" customFormat="1" ht="14">
      <c r="A33" s="3" t="s">
        <v>1</v>
      </c>
      <c r="B33" s="7" t="s">
        <v>26</v>
      </c>
    </row>
    <row r="34" spans="1:4" s="3" customFormat="1" ht="14"/>
    <row r="35" spans="1:4" s="3" customFormat="1" ht="14">
      <c r="B35" s="3" t="s">
        <v>27</v>
      </c>
    </row>
    <row r="36" spans="1:4" s="3" customFormat="1" ht="14">
      <c r="C36" s="28" t="s">
        <v>28</v>
      </c>
    </row>
    <row r="37" spans="1:4" s="3" customFormat="1" ht="14">
      <c r="C37" s="28" t="s">
        <v>29</v>
      </c>
    </row>
    <row r="38" spans="1:4" s="3" customFormat="1" ht="14">
      <c r="C38" s="28" t="s">
        <v>30</v>
      </c>
    </row>
    <row r="39" spans="1:4" s="3" customFormat="1" ht="14">
      <c r="C39" s="27" t="s">
        <v>31</v>
      </c>
    </row>
    <row r="40" spans="1:4" s="3" customFormat="1" ht="14"/>
    <row r="41" spans="1:4" s="3" customFormat="1" ht="14">
      <c r="B41" s="3" t="s">
        <v>101</v>
      </c>
    </row>
    <row r="42" spans="1:4" s="3" customFormat="1" ht="14">
      <c r="C42" s="27" t="s">
        <v>32</v>
      </c>
      <c r="D42" s="27" t="s">
        <v>36</v>
      </c>
    </row>
    <row r="43" spans="1:4" s="3" customFormat="1" ht="14">
      <c r="C43" s="27" t="s">
        <v>33</v>
      </c>
      <c r="D43" s="27" t="s">
        <v>37</v>
      </c>
    </row>
    <row r="44" spans="1:4" s="3" customFormat="1" ht="14">
      <c r="C44" s="27" t="s">
        <v>34</v>
      </c>
      <c r="D44" s="27" t="s">
        <v>38</v>
      </c>
    </row>
    <row r="45" spans="1:4" s="3" customFormat="1" ht="14">
      <c r="C45" s="27" t="s">
        <v>35</v>
      </c>
      <c r="D45" s="27" t="s">
        <v>39</v>
      </c>
    </row>
    <row r="46" spans="1:4" s="3" customFormat="1" ht="14">
      <c r="C46" s="27" t="s">
        <v>97</v>
      </c>
      <c r="D46" s="27" t="s">
        <v>96</v>
      </c>
    </row>
    <row r="47" spans="1:4" s="3" customFormat="1" ht="14">
      <c r="C47" s="27" t="s">
        <v>98</v>
      </c>
      <c r="D47" s="27" t="s">
        <v>99</v>
      </c>
    </row>
    <row r="48" spans="1:4" s="3" customFormat="1" ht="14">
      <c r="C48" s="27" t="s">
        <v>40</v>
      </c>
      <c r="D48" s="27" t="s">
        <v>41</v>
      </c>
    </row>
    <row r="49" spans="2:7" s="3" customFormat="1" ht="14">
      <c r="C49" s="4"/>
    </row>
    <row r="50" spans="2:7" s="3" customFormat="1">
      <c r="B50" s="3" t="s">
        <v>102</v>
      </c>
      <c r="C50" s="5"/>
      <c r="G50" s="6"/>
    </row>
    <row r="51" spans="2:7" s="3" customFormat="1" ht="14">
      <c r="C51" s="27" t="s">
        <v>103</v>
      </c>
    </row>
    <row r="52" spans="2:7" s="3" customFormat="1">
      <c r="G52" s="1"/>
    </row>
    <row r="53" spans="2:7">
      <c r="B53" s="3" t="s">
        <v>105</v>
      </c>
      <c r="C53" s="3"/>
      <c r="E53" s="3"/>
    </row>
    <row r="54" spans="2:7">
      <c r="B54" s="3"/>
      <c r="C54" s="60" t="s">
        <v>107</v>
      </c>
      <c r="E54" s="3"/>
    </row>
    <row r="55" spans="2:7">
      <c r="B55" s="3"/>
      <c r="C55" s="60" t="s">
        <v>106</v>
      </c>
      <c r="E55" s="3"/>
    </row>
    <row r="56" spans="2:7">
      <c r="B56" s="3"/>
      <c r="C56" s="60" t="s">
        <v>108</v>
      </c>
      <c r="E56" s="3"/>
    </row>
    <row r="57" spans="2:7">
      <c r="E57" s="3"/>
    </row>
    <row r="58" spans="2:7">
      <c r="B58" s="3"/>
    </row>
    <row r="59" spans="2:7">
      <c r="B59" s="3"/>
    </row>
  </sheetData>
  <mergeCells count="7">
    <mergeCell ref="B24:C24"/>
    <mergeCell ref="B18:C18"/>
    <mergeCell ref="B19:C19"/>
    <mergeCell ref="B20:C20"/>
    <mergeCell ref="B21:C21"/>
    <mergeCell ref="B22:C22"/>
    <mergeCell ref="B23:C23"/>
  </mergeCells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12"/>
  <sheetViews>
    <sheetView zoomScale="150" zoomScaleNormal="150" workbookViewId="0">
      <selection activeCell="E22" sqref="E22"/>
    </sheetView>
  </sheetViews>
  <sheetFormatPr baseColWidth="10" defaultColWidth="8.83203125" defaultRowHeight="14"/>
  <cols>
    <col min="1" max="1" width="8.83203125" style="10"/>
    <col min="2" max="2" width="9.1640625" style="10" bestFit="1" customWidth="1"/>
    <col min="3" max="3" width="9.1640625" style="10" customWidth="1"/>
    <col min="4" max="4" width="8.83203125" style="10"/>
    <col min="5" max="5" width="9.33203125" style="10" bestFit="1" customWidth="1"/>
    <col min="6" max="6" width="9.1640625" style="10" bestFit="1" customWidth="1"/>
    <col min="7" max="16384" width="8.83203125" style="10"/>
  </cols>
  <sheetData>
    <row r="1" spans="2:15">
      <c r="B1" s="16" t="s">
        <v>46</v>
      </c>
      <c r="C1" s="16"/>
      <c r="D1" s="17"/>
      <c r="F1" s="18" t="s">
        <v>45</v>
      </c>
    </row>
    <row r="2" spans="2:15">
      <c r="B2" s="8" t="s">
        <v>42</v>
      </c>
      <c r="C2" s="8" t="s">
        <v>100</v>
      </c>
      <c r="D2" s="8" t="s">
        <v>43</v>
      </c>
      <c r="F2" s="10" t="s">
        <v>44</v>
      </c>
    </row>
    <row r="3" spans="2:15">
      <c r="B3" s="11">
        <v>41012</v>
      </c>
      <c r="C3" s="8">
        <v>200</v>
      </c>
      <c r="D3" s="8">
        <f>SUM($C$3:C3)</f>
        <v>200</v>
      </c>
      <c r="F3" s="8"/>
      <c r="G3" s="8">
        <v>1</v>
      </c>
      <c r="H3" s="8">
        <v>2</v>
      </c>
      <c r="I3" s="8">
        <v>3</v>
      </c>
      <c r="J3" s="8">
        <v>4</v>
      </c>
      <c r="K3" s="8">
        <v>5</v>
      </c>
      <c r="L3" s="8">
        <v>6</v>
      </c>
      <c r="M3" s="8">
        <v>7</v>
      </c>
      <c r="N3" s="8">
        <v>8</v>
      </c>
      <c r="O3" s="8">
        <v>9</v>
      </c>
    </row>
    <row r="4" spans="2:15">
      <c r="B4" s="11">
        <v>41013</v>
      </c>
      <c r="C4" s="8">
        <v>300</v>
      </c>
      <c r="D4" s="8">
        <f>SUM($C$3:C4)</f>
        <v>500</v>
      </c>
      <c r="F4" s="8">
        <v>1</v>
      </c>
      <c r="G4" s="8">
        <f>G$3*$F4</f>
        <v>1</v>
      </c>
      <c r="H4" s="8">
        <f t="shared" ref="H4:O12" si="0">H$3*$F4</f>
        <v>2</v>
      </c>
      <c r="I4" s="8">
        <f t="shared" si="0"/>
        <v>3</v>
      </c>
      <c r="J4" s="8">
        <f t="shared" si="0"/>
        <v>4</v>
      </c>
      <c r="K4" s="8">
        <f t="shared" si="0"/>
        <v>5</v>
      </c>
      <c r="L4" s="8">
        <f t="shared" si="0"/>
        <v>6</v>
      </c>
      <c r="M4" s="8">
        <f t="shared" si="0"/>
        <v>7</v>
      </c>
      <c r="N4" s="8">
        <f t="shared" si="0"/>
        <v>8</v>
      </c>
      <c r="O4" s="8">
        <f t="shared" si="0"/>
        <v>9</v>
      </c>
    </row>
    <row r="5" spans="2:15">
      <c r="B5" s="11">
        <v>41014</v>
      </c>
      <c r="C5" s="8">
        <v>100</v>
      </c>
      <c r="D5" s="8">
        <f>SUM($C$3:C5)</f>
        <v>600</v>
      </c>
      <c r="F5" s="8">
        <v>2</v>
      </c>
      <c r="G5" s="8">
        <f t="shared" ref="G5:G12" si="1">G$3*$F5</f>
        <v>2</v>
      </c>
      <c r="H5" s="8">
        <f t="shared" si="0"/>
        <v>4</v>
      </c>
      <c r="I5" s="8">
        <f t="shared" si="0"/>
        <v>6</v>
      </c>
      <c r="J5" s="8">
        <f t="shared" si="0"/>
        <v>8</v>
      </c>
      <c r="K5" s="8">
        <f t="shared" si="0"/>
        <v>10</v>
      </c>
      <c r="L5" s="8">
        <f t="shared" si="0"/>
        <v>12</v>
      </c>
      <c r="M5" s="8">
        <f t="shared" si="0"/>
        <v>14</v>
      </c>
      <c r="N5" s="8">
        <f t="shared" si="0"/>
        <v>16</v>
      </c>
      <c r="O5" s="8">
        <f t="shared" si="0"/>
        <v>18</v>
      </c>
    </row>
    <row r="6" spans="2:15">
      <c r="B6" s="11">
        <v>41015</v>
      </c>
      <c r="C6" s="8">
        <v>50</v>
      </c>
      <c r="D6" s="8">
        <f>SUM($C$3:C6)</f>
        <v>650</v>
      </c>
      <c r="F6" s="8">
        <v>3</v>
      </c>
      <c r="G6" s="8">
        <f t="shared" si="1"/>
        <v>3</v>
      </c>
      <c r="H6" s="8">
        <f t="shared" si="0"/>
        <v>6</v>
      </c>
      <c r="I6" s="8">
        <f t="shared" si="0"/>
        <v>9</v>
      </c>
      <c r="J6" s="8">
        <f t="shared" si="0"/>
        <v>12</v>
      </c>
      <c r="K6" s="8">
        <f t="shared" si="0"/>
        <v>15</v>
      </c>
      <c r="L6" s="8">
        <f t="shared" si="0"/>
        <v>18</v>
      </c>
      <c r="M6" s="8">
        <f t="shared" si="0"/>
        <v>21</v>
      </c>
      <c r="N6" s="8">
        <f t="shared" si="0"/>
        <v>24</v>
      </c>
      <c r="O6" s="8">
        <f t="shared" si="0"/>
        <v>27</v>
      </c>
    </row>
    <row r="7" spans="2:15">
      <c r="B7" s="11">
        <v>41016</v>
      </c>
      <c r="C7" s="8">
        <v>80</v>
      </c>
      <c r="D7" s="8">
        <f>SUM($C$3:C7)</f>
        <v>730</v>
      </c>
      <c r="F7" s="8">
        <v>4</v>
      </c>
      <c r="G7" s="8">
        <f t="shared" si="1"/>
        <v>4</v>
      </c>
      <c r="H7" s="8">
        <f t="shared" si="0"/>
        <v>8</v>
      </c>
      <c r="I7" s="8">
        <f t="shared" si="0"/>
        <v>12</v>
      </c>
      <c r="J7" s="8">
        <f t="shared" si="0"/>
        <v>16</v>
      </c>
      <c r="K7" s="8">
        <f t="shared" si="0"/>
        <v>20</v>
      </c>
      <c r="L7" s="8">
        <f t="shared" si="0"/>
        <v>24</v>
      </c>
      <c r="M7" s="8">
        <f t="shared" si="0"/>
        <v>28</v>
      </c>
      <c r="N7" s="8">
        <f t="shared" si="0"/>
        <v>32</v>
      </c>
      <c r="O7" s="8">
        <f t="shared" si="0"/>
        <v>36</v>
      </c>
    </row>
    <row r="8" spans="2:15">
      <c r="F8" s="8">
        <v>5</v>
      </c>
      <c r="G8" s="8">
        <f t="shared" si="1"/>
        <v>5</v>
      </c>
      <c r="H8" s="8">
        <f t="shared" si="0"/>
        <v>10</v>
      </c>
      <c r="I8" s="8">
        <f t="shared" si="0"/>
        <v>15</v>
      </c>
      <c r="J8" s="8">
        <f t="shared" si="0"/>
        <v>20</v>
      </c>
      <c r="K8" s="8">
        <f t="shared" si="0"/>
        <v>25</v>
      </c>
      <c r="L8" s="8">
        <f t="shared" si="0"/>
        <v>30</v>
      </c>
      <c r="M8" s="8">
        <f t="shared" si="0"/>
        <v>35</v>
      </c>
      <c r="N8" s="8">
        <f t="shared" si="0"/>
        <v>40</v>
      </c>
      <c r="O8" s="8">
        <f t="shared" si="0"/>
        <v>45</v>
      </c>
    </row>
    <row r="9" spans="2:15">
      <c r="F9" s="8">
        <v>6</v>
      </c>
      <c r="G9" s="8">
        <f t="shared" si="1"/>
        <v>6</v>
      </c>
      <c r="H9" s="8">
        <f t="shared" si="0"/>
        <v>12</v>
      </c>
      <c r="I9" s="8">
        <f t="shared" si="0"/>
        <v>18</v>
      </c>
      <c r="J9" s="8">
        <f t="shared" si="0"/>
        <v>24</v>
      </c>
      <c r="K9" s="8">
        <f t="shared" si="0"/>
        <v>30</v>
      </c>
      <c r="L9" s="8">
        <f t="shared" si="0"/>
        <v>36</v>
      </c>
      <c r="M9" s="8">
        <f t="shared" si="0"/>
        <v>42</v>
      </c>
      <c r="N9" s="8">
        <f t="shared" si="0"/>
        <v>48</v>
      </c>
      <c r="O9" s="8">
        <f t="shared" si="0"/>
        <v>54</v>
      </c>
    </row>
    <row r="10" spans="2:15">
      <c r="F10" s="8">
        <v>7</v>
      </c>
      <c r="G10" s="8">
        <f t="shared" si="1"/>
        <v>7</v>
      </c>
      <c r="H10" s="8">
        <f t="shared" si="0"/>
        <v>14</v>
      </c>
      <c r="I10" s="8">
        <f t="shared" si="0"/>
        <v>21</v>
      </c>
      <c r="J10" s="8">
        <f t="shared" si="0"/>
        <v>28</v>
      </c>
      <c r="K10" s="8">
        <f t="shared" si="0"/>
        <v>35</v>
      </c>
      <c r="L10" s="8">
        <f t="shared" si="0"/>
        <v>42</v>
      </c>
      <c r="M10" s="8">
        <f t="shared" si="0"/>
        <v>49</v>
      </c>
      <c r="N10" s="8">
        <f t="shared" si="0"/>
        <v>56</v>
      </c>
      <c r="O10" s="8">
        <f t="shared" si="0"/>
        <v>63</v>
      </c>
    </row>
    <row r="11" spans="2:15">
      <c r="F11" s="8">
        <v>8</v>
      </c>
      <c r="G11" s="8">
        <f t="shared" si="1"/>
        <v>8</v>
      </c>
      <c r="H11" s="8">
        <f t="shared" si="0"/>
        <v>16</v>
      </c>
      <c r="I11" s="8">
        <f t="shared" si="0"/>
        <v>24</v>
      </c>
      <c r="J11" s="8">
        <f t="shared" si="0"/>
        <v>32</v>
      </c>
      <c r="K11" s="8">
        <f t="shared" si="0"/>
        <v>40</v>
      </c>
      <c r="L11" s="8">
        <f t="shared" si="0"/>
        <v>48</v>
      </c>
      <c r="M11" s="8">
        <f t="shared" si="0"/>
        <v>56</v>
      </c>
      <c r="N11" s="8">
        <f t="shared" si="0"/>
        <v>64</v>
      </c>
      <c r="O11" s="8">
        <f t="shared" si="0"/>
        <v>72</v>
      </c>
    </row>
    <row r="12" spans="2:15">
      <c r="F12" s="8">
        <v>9</v>
      </c>
      <c r="G12" s="8">
        <f t="shared" si="1"/>
        <v>9</v>
      </c>
      <c r="H12" s="8">
        <f t="shared" si="0"/>
        <v>18</v>
      </c>
      <c r="I12" s="8">
        <f t="shared" si="0"/>
        <v>27</v>
      </c>
      <c r="J12" s="8">
        <f t="shared" si="0"/>
        <v>36</v>
      </c>
      <c r="K12" s="8">
        <f t="shared" si="0"/>
        <v>45</v>
      </c>
      <c r="L12" s="8">
        <f t="shared" si="0"/>
        <v>54</v>
      </c>
      <c r="M12" s="8">
        <f t="shared" si="0"/>
        <v>63</v>
      </c>
      <c r="N12" s="8">
        <f t="shared" si="0"/>
        <v>72</v>
      </c>
      <c r="O12" s="8">
        <f t="shared" si="0"/>
        <v>81</v>
      </c>
    </row>
  </sheetData>
  <phoneticPr fontId="7" type="noConversion"/>
  <pageMargins left="0.7" right="0.7" top="0.75" bottom="0.75" header="0.3" footer="0.3"/>
  <ignoredErrors>
    <ignoredError sqref="D4:D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P37"/>
  <sheetViews>
    <sheetView zoomScale="150" zoomScaleNormal="150" workbookViewId="0">
      <selection activeCell="K18" sqref="K18"/>
    </sheetView>
  </sheetViews>
  <sheetFormatPr baseColWidth="10" defaultColWidth="8.83203125" defaultRowHeight="15"/>
  <cols>
    <col min="1" max="15" width="8.83203125" style="37"/>
    <col min="16" max="16" width="11.1640625" style="37" bestFit="1" customWidth="1"/>
    <col min="17" max="16384" width="8.83203125" style="37"/>
  </cols>
  <sheetData>
    <row r="2" spans="2:16" ht="30">
      <c r="B2" s="21" t="s">
        <v>47</v>
      </c>
      <c r="C2" s="22" t="s">
        <v>48</v>
      </c>
      <c r="D2" s="22" t="s">
        <v>49</v>
      </c>
      <c r="E2" s="22" t="s">
        <v>50</v>
      </c>
      <c r="F2" s="22" t="s">
        <v>51</v>
      </c>
      <c r="G2" s="22" t="s">
        <v>63</v>
      </c>
      <c r="H2" s="22" t="s">
        <v>59</v>
      </c>
      <c r="I2" s="23" t="s">
        <v>60</v>
      </c>
    </row>
    <row r="3" spans="2:16">
      <c r="B3" s="24" t="s">
        <v>52</v>
      </c>
      <c r="C3" s="25">
        <v>39</v>
      </c>
      <c r="D3" s="25">
        <v>55</v>
      </c>
      <c r="E3" s="25">
        <v>90</v>
      </c>
      <c r="F3" s="25">
        <v>39</v>
      </c>
      <c r="G3" s="29">
        <f>SUM(C3:F3)</f>
        <v>223</v>
      </c>
      <c r="H3" s="29">
        <f>AVERAGE(C3:F3)</f>
        <v>55.75</v>
      </c>
      <c r="I3" s="30">
        <f>RANK(G3,$G$3:$G$9,0)</f>
        <v>7</v>
      </c>
      <c r="L3" s="38" t="s">
        <v>88</v>
      </c>
    </row>
    <row r="4" spans="2:16">
      <c r="B4" s="24" t="s">
        <v>53</v>
      </c>
      <c r="C4" s="25">
        <v>60</v>
      </c>
      <c r="D4" s="25">
        <v>64</v>
      </c>
      <c r="E4" s="25">
        <v>77</v>
      </c>
      <c r="F4" s="25">
        <v>55</v>
      </c>
      <c r="G4" s="29">
        <f t="shared" ref="G4:G9" si="0">SUM(C4:F4)</f>
        <v>256</v>
      </c>
      <c r="H4" s="29">
        <f t="shared" ref="H4:H9" si="1">AVERAGE(C4:F4)</f>
        <v>64</v>
      </c>
      <c r="I4" s="30">
        <f t="shared" ref="I4:I9" si="2">RANK(G4,$G$3:$G$9,0)</f>
        <v>5</v>
      </c>
    </row>
    <row r="5" spans="2:16">
      <c r="B5" s="24" t="s">
        <v>54</v>
      </c>
      <c r="C5" s="25">
        <v>86</v>
      </c>
      <c r="D5" s="25">
        <v>79</v>
      </c>
      <c r="E5" s="25">
        <v>98</v>
      </c>
      <c r="F5" s="25">
        <v>90</v>
      </c>
      <c r="G5" s="29">
        <f t="shared" si="0"/>
        <v>353</v>
      </c>
      <c r="H5" s="29">
        <f t="shared" si="1"/>
        <v>88.25</v>
      </c>
      <c r="I5" s="30">
        <f t="shared" si="2"/>
        <v>2</v>
      </c>
      <c r="L5" s="39" t="s">
        <v>87</v>
      </c>
      <c r="M5" s="40" t="s">
        <v>86</v>
      </c>
      <c r="N5" s="41" t="s">
        <v>85</v>
      </c>
      <c r="O5" s="41" t="s">
        <v>84</v>
      </c>
      <c r="P5" s="42" t="s">
        <v>83</v>
      </c>
    </row>
    <row r="6" spans="2:16">
      <c r="B6" s="24" t="s">
        <v>55</v>
      </c>
      <c r="C6" s="25">
        <v>77</v>
      </c>
      <c r="D6" s="25">
        <v>85</v>
      </c>
      <c r="E6" s="25">
        <v>83</v>
      </c>
      <c r="F6" s="25">
        <v>77</v>
      </c>
      <c r="G6" s="29">
        <f t="shared" si="0"/>
        <v>322</v>
      </c>
      <c r="H6" s="29">
        <f t="shared" si="1"/>
        <v>80.5</v>
      </c>
      <c r="I6" s="30">
        <f t="shared" si="2"/>
        <v>3</v>
      </c>
      <c r="L6" s="43" t="s">
        <v>82</v>
      </c>
      <c r="M6" s="44">
        <v>2.33</v>
      </c>
      <c r="N6" s="44">
        <v>84000</v>
      </c>
      <c r="O6" s="44">
        <v>0.7</v>
      </c>
      <c r="P6" s="45">
        <f>M6*N6*O6</f>
        <v>137004</v>
      </c>
    </row>
    <row r="7" spans="2:16">
      <c r="B7" s="24" t="s">
        <v>56</v>
      </c>
      <c r="C7" s="25">
        <v>43</v>
      </c>
      <c r="D7" s="25">
        <v>47</v>
      </c>
      <c r="E7" s="25">
        <v>54</v>
      </c>
      <c r="F7" s="25">
        <v>85</v>
      </c>
      <c r="G7" s="29">
        <f t="shared" si="0"/>
        <v>229</v>
      </c>
      <c r="H7" s="29">
        <f t="shared" si="1"/>
        <v>57.25</v>
      </c>
      <c r="I7" s="30">
        <f t="shared" si="2"/>
        <v>6</v>
      </c>
    </row>
    <row r="8" spans="2:16">
      <c r="B8" s="24" t="s">
        <v>57</v>
      </c>
      <c r="C8" s="25">
        <v>56</v>
      </c>
      <c r="D8" s="25">
        <v>71</v>
      </c>
      <c r="E8" s="25">
        <v>49</v>
      </c>
      <c r="F8" s="25">
        <v>83</v>
      </c>
      <c r="G8" s="29">
        <f t="shared" si="0"/>
        <v>259</v>
      </c>
      <c r="H8" s="29">
        <f t="shared" si="1"/>
        <v>64.75</v>
      </c>
      <c r="I8" s="30">
        <f t="shared" si="2"/>
        <v>4</v>
      </c>
    </row>
    <row r="9" spans="2:16">
      <c r="B9" s="24" t="s">
        <v>58</v>
      </c>
      <c r="C9" s="25">
        <v>90</v>
      </c>
      <c r="D9" s="25">
        <v>89</v>
      </c>
      <c r="E9" s="25">
        <v>98</v>
      </c>
      <c r="F9" s="25">
        <v>88</v>
      </c>
      <c r="G9" s="29">
        <f t="shared" si="0"/>
        <v>365</v>
      </c>
      <c r="H9" s="29">
        <f t="shared" si="1"/>
        <v>91.25</v>
      </c>
      <c r="I9" s="30">
        <f t="shared" si="2"/>
        <v>1</v>
      </c>
    </row>
    <row r="10" spans="2:16">
      <c r="B10" s="24" t="s">
        <v>59</v>
      </c>
      <c r="C10" s="29">
        <f t="shared" ref="C10:H10" si="3">AVERAGE(C3:C9)</f>
        <v>64.428571428571431</v>
      </c>
      <c r="D10" s="29">
        <f t="shared" si="3"/>
        <v>70</v>
      </c>
      <c r="E10" s="29">
        <f t="shared" si="3"/>
        <v>78.428571428571431</v>
      </c>
      <c r="F10" s="29">
        <f t="shared" si="3"/>
        <v>73.857142857142861</v>
      </c>
      <c r="G10" s="29">
        <f t="shared" si="3"/>
        <v>286.71428571428572</v>
      </c>
      <c r="H10" s="29">
        <f t="shared" si="3"/>
        <v>71.678571428571431</v>
      </c>
      <c r="I10" s="30"/>
    </row>
    <row r="11" spans="2:16">
      <c r="B11" s="24" t="s">
        <v>64</v>
      </c>
      <c r="C11" s="29">
        <f t="shared" ref="C11:H11" si="4">MAX(C3:C9)</f>
        <v>90</v>
      </c>
      <c r="D11" s="29">
        <f t="shared" si="4"/>
        <v>89</v>
      </c>
      <c r="E11" s="29">
        <f t="shared" si="4"/>
        <v>98</v>
      </c>
      <c r="F11" s="29">
        <f t="shared" si="4"/>
        <v>90</v>
      </c>
      <c r="G11" s="29">
        <f t="shared" si="4"/>
        <v>365</v>
      </c>
      <c r="H11" s="29">
        <f t="shared" si="4"/>
        <v>91.25</v>
      </c>
      <c r="I11" s="30"/>
    </row>
    <row r="12" spans="2:16">
      <c r="B12" s="26" t="s">
        <v>65</v>
      </c>
      <c r="C12" s="31">
        <f t="shared" ref="C12:H12" si="5">MIN(C3:C9)</f>
        <v>39</v>
      </c>
      <c r="D12" s="31">
        <f t="shared" si="5"/>
        <v>47</v>
      </c>
      <c r="E12" s="31">
        <f t="shared" si="5"/>
        <v>49</v>
      </c>
      <c r="F12" s="31">
        <f t="shared" si="5"/>
        <v>39</v>
      </c>
      <c r="G12" s="31">
        <f t="shared" si="5"/>
        <v>223</v>
      </c>
      <c r="H12" s="31">
        <f t="shared" si="5"/>
        <v>55.75</v>
      </c>
      <c r="I12" s="32"/>
    </row>
    <row r="15" spans="2:16">
      <c r="B15" s="50" t="s">
        <v>81</v>
      </c>
      <c r="C15" s="51" t="s">
        <v>80</v>
      </c>
      <c r="D15" s="52" t="s">
        <v>79</v>
      </c>
      <c r="E15" s="53" t="s">
        <v>78</v>
      </c>
      <c r="G15" s="46" t="s">
        <v>73</v>
      </c>
      <c r="H15" s="47" t="s">
        <v>72</v>
      </c>
      <c r="I15" s="58" t="s">
        <v>71</v>
      </c>
      <c r="J15" s="59"/>
    </row>
    <row r="16" spans="2:16">
      <c r="B16" s="33" t="s">
        <v>4</v>
      </c>
      <c r="C16" s="34">
        <v>10018483.644522799</v>
      </c>
      <c r="D16" s="34">
        <v>9263589.4901217204</v>
      </c>
      <c r="E16" s="54">
        <f>(C16-D16)/C16</f>
        <v>7.5350140918160474E-2</v>
      </c>
      <c r="G16" s="48" t="s">
        <v>70</v>
      </c>
      <c r="H16" s="34">
        <v>67678822</v>
      </c>
      <c r="I16" s="56" t="str">
        <f>G16&amp;"-"&amp;H16</f>
        <v>010-67678822</v>
      </c>
      <c r="J16" s="57"/>
    </row>
    <row r="17" spans="2:10">
      <c r="B17" s="33" t="s">
        <v>77</v>
      </c>
      <c r="C17" s="34">
        <v>1621161.5808073799</v>
      </c>
      <c r="D17" s="34">
        <v>1450713.1337578199</v>
      </c>
      <c r="E17" s="54">
        <f t="shared" ref="E17:E20" si="6">(C17-D17)/C17</f>
        <v>0.10513970295587213</v>
      </c>
      <c r="G17" s="48" t="s">
        <v>69</v>
      </c>
      <c r="H17" s="34">
        <v>88882222</v>
      </c>
      <c r="I17" s="56" t="str">
        <f t="shared" ref="I17:I20" si="7">G17&amp;"-"&amp;H17</f>
        <v>0512-88882222</v>
      </c>
      <c r="J17" s="57"/>
    </row>
    <row r="18" spans="2:10">
      <c r="B18" s="33" t="s">
        <v>76</v>
      </c>
      <c r="C18" s="34">
        <v>8023075.5122111496</v>
      </c>
      <c r="D18" s="34">
        <v>6872472.1319166403</v>
      </c>
      <c r="E18" s="54">
        <f t="shared" si="6"/>
        <v>0.14341176005925493</v>
      </c>
      <c r="G18" s="48" t="s">
        <v>68</v>
      </c>
      <c r="H18" s="34">
        <v>28283828</v>
      </c>
      <c r="I18" s="56" t="str">
        <f t="shared" si="7"/>
        <v>020-28283828</v>
      </c>
      <c r="J18" s="57"/>
    </row>
    <row r="19" spans="2:10">
      <c r="B19" s="33" t="s">
        <v>75</v>
      </c>
      <c r="C19" s="34">
        <v>8518098.3439653497</v>
      </c>
      <c r="D19" s="34">
        <v>7027228.9286150802</v>
      </c>
      <c r="E19" s="54">
        <f t="shared" si="6"/>
        <v>0.17502373829793555</v>
      </c>
      <c r="G19" s="48" t="s">
        <v>67</v>
      </c>
      <c r="H19" s="34">
        <v>99998888</v>
      </c>
      <c r="I19" s="56" t="str">
        <f t="shared" si="7"/>
        <v>0519-99998888</v>
      </c>
      <c r="J19" s="57"/>
    </row>
    <row r="20" spans="2:10">
      <c r="B20" s="35" t="s">
        <v>74</v>
      </c>
      <c r="C20" s="36">
        <v>19403722.512561999</v>
      </c>
      <c r="D20" s="36">
        <v>16611973.071643701</v>
      </c>
      <c r="E20" s="54">
        <f t="shared" si="6"/>
        <v>0.14387700293646827</v>
      </c>
      <c r="G20" s="49" t="s">
        <v>66</v>
      </c>
      <c r="H20" s="36">
        <v>11123344</v>
      </c>
      <c r="I20" s="56" t="str">
        <f t="shared" si="7"/>
        <v>021-11123344</v>
      </c>
      <c r="J20" s="57"/>
    </row>
    <row r="37" s="37" customFormat="1" ht="14.25" customHeight="1"/>
  </sheetData>
  <mergeCells count="6">
    <mergeCell ref="I20:J20"/>
    <mergeCell ref="I15:J15"/>
    <mergeCell ref="I16:J16"/>
    <mergeCell ref="I17:J17"/>
    <mergeCell ref="I18:J18"/>
    <mergeCell ref="I19:J19"/>
  </mergeCells>
  <phoneticPr fontId="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"/>
  <sheetViews>
    <sheetView zoomScale="150" zoomScaleNormal="150" workbookViewId="0">
      <selection activeCell="D13" sqref="D13"/>
    </sheetView>
  </sheetViews>
  <sheetFormatPr baseColWidth="10" defaultColWidth="8.83203125" defaultRowHeight="14"/>
  <cols>
    <col min="1" max="1" width="8.83203125" style="10"/>
    <col min="2" max="2" width="10.33203125" style="10" bestFit="1" customWidth="1"/>
    <col min="3" max="3" width="8.83203125" style="10"/>
    <col min="4" max="4" width="9" style="10" bestFit="1" customWidth="1"/>
    <col min="5" max="5" width="10.33203125" style="10" bestFit="1" customWidth="1"/>
    <col min="6" max="6" width="8.83203125" style="10"/>
    <col min="7" max="7" width="9" style="10" bestFit="1" customWidth="1"/>
    <col min="8" max="8" width="10.33203125" style="10" bestFit="1" customWidth="1"/>
    <col min="9" max="9" width="8.83203125" style="10"/>
    <col min="10" max="10" width="9" style="10" bestFit="1" customWidth="1"/>
    <col min="11" max="11" width="10.33203125" style="10" bestFit="1" customWidth="1"/>
    <col min="12" max="16384" width="8.83203125" style="10"/>
  </cols>
  <sheetData>
    <row r="1" spans="1:9" ht="15">
      <c r="A1" s="19" t="s">
        <v>2</v>
      </c>
      <c r="B1" s="20" t="s">
        <v>3</v>
      </c>
      <c r="C1" s="20" t="s">
        <v>61</v>
      </c>
      <c r="D1" s="19" t="s">
        <v>2</v>
      </c>
      <c r="E1" s="20" t="s">
        <v>3</v>
      </c>
      <c r="F1" s="20" t="s">
        <v>61</v>
      </c>
      <c r="G1" s="19" t="s">
        <v>2</v>
      </c>
      <c r="H1" s="20" t="s">
        <v>3</v>
      </c>
      <c r="I1" s="20" t="s">
        <v>61</v>
      </c>
    </row>
    <row r="2" spans="1:9">
      <c r="A2" s="13">
        <v>16</v>
      </c>
      <c r="B2" s="14">
        <v>19269.685163999999</v>
      </c>
      <c r="C2" s="15"/>
      <c r="D2" s="13">
        <v>212</v>
      </c>
      <c r="E2" s="14">
        <v>48705.657414599991</v>
      </c>
      <c r="F2" s="15"/>
      <c r="G2" s="13">
        <v>20</v>
      </c>
      <c r="H2" s="14">
        <v>23710.258592999999</v>
      </c>
      <c r="I2" s="15"/>
    </row>
    <row r="3" spans="1:9">
      <c r="A3" s="13">
        <v>40</v>
      </c>
      <c r="B3" s="14">
        <v>39465.169800000003</v>
      </c>
      <c r="C3" s="15"/>
      <c r="D3" s="13">
        <v>224</v>
      </c>
      <c r="E3" s="14">
        <v>47192.034624</v>
      </c>
      <c r="F3" s="15"/>
      <c r="G3" s="13">
        <v>16</v>
      </c>
      <c r="H3" s="14">
        <v>20015.072431199998</v>
      </c>
      <c r="I3" s="15"/>
    </row>
    <row r="4" spans="1:9">
      <c r="A4" s="13">
        <v>20</v>
      </c>
      <c r="B4" s="14">
        <v>21015.944745000001</v>
      </c>
      <c r="C4" s="15"/>
      <c r="D4" s="13">
        <v>92</v>
      </c>
      <c r="E4" s="14">
        <v>21136.417368599999</v>
      </c>
      <c r="F4" s="15"/>
      <c r="G4" s="13">
        <v>200</v>
      </c>
      <c r="H4" s="14">
        <v>40014.12141</v>
      </c>
      <c r="I4" s="15"/>
    </row>
    <row r="5" spans="1:9">
      <c r="A5" s="13">
        <v>20</v>
      </c>
      <c r="B5" s="14">
        <v>23710.258592999999</v>
      </c>
      <c r="C5" s="15"/>
      <c r="D5" s="13">
        <v>100</v>
      </c>
      <c r="E5" s="14">
        <v>27499.508355000002</v>
      </c>
      <c r="F5" s="15"/>
      <c r="G5" s="13">
        <v>100</v>
      </c>
      <c r="H5" s="14">
        <v>21423.94932</v>
      </c>
      <c r="I5" s="15"/>
    </row>
    <row r="6" spans="1:9">
      <c r="A6" s="13">
        <v>16</v>
      </c>
      <c r="B6" s="14">
        <v>20015.072431199998</v>
      </c>
      <c r="C6" s="15"/>
      <c r="D6" s="13">
        <v>140</v>
      </c>
      <c r="E6" s="14">
        <v>29993.529048</v>
      </c>
      <c r="F6" s="15"/>
      <c r="G6" s="13">
        <v>200</v>
      </c>
      <c r="H6" s="14">
        <v>40014.12141</v>
      </c>
      <c r="I6" s="15"/>
    </row>
    <row r="7" spans="1:9">
      <c r="A7" s="13">
        <v>200</v>
      </c>
      <c r="B7" s="14">
        <v>40014.12141</v>
      </c>
      <c r="C7" s="15"/>
      <c r="D7" s="13">
        <v>108</v>
      </c>
      <c r="E7" s="14">
        <v>34682.76271979999</v>
      </c>
      <c r="F7" s="15"/>
      <c r="G7" s="13">
        <v>400</v>
      </c>
      <c r="H7" s="14">
        <v>84271.490399999995</v>
      </c>
      <c r="I7" s="15"/>
    </row>
    <row r="8" spans="1:9">
      <c r="A8" s="13">
        <v>100</v>
      </c>
      <c r="B8" s="14">
        <v>21423.94932</v>
      </c>
      <c r="C8" s="15"/>
      <c r="D8" s="13">
        <v>72</v>
      </c>
      <c r="E8" s="14">
        <v>12492.951721200001</v>
      </c>
      <c r="F8" s="15"/>
      <c r="G8" s="13">
        <v>212</v>
      </c>
      <c r="H8" s="14">
        <v>48705.657414599991</v>
      </c>
      <c r="I8" s="15"/>
    </row>
    <row r="9" spans="1:9">
      <c r="A9" s="13">
        <v>200</v>
      </c>
      <c r="B9" s="14">
        <v>40014.12141</v>
      </c>
      <c r="C9" s="15"/>
      <c r="D9" s="13">
        <v>32</v>
      </c>
      <c r="E9" s="14">
        <v>30449.307249599999</v>
      </c>
      <c r="F9" s="15"/>
      <c r="G9" s="13">
        <v>224</v>
      </c>
      <c r="H9" s="14">
        <v>47192.034624</v>
      </c>
      <c r="I9" s="15"/>
    </row>
    <row r="10" spans="1:9">
      <c r="A10" s="13">
        <v>400</v>
      </c>
      <c r="B10" s="14">
        <v>84271.490399999995</v>
      </c>
      <c r="C10" s="15"/>
      <c r="D10" s="13">
        <v>12</v>
      </c>
      <c r="E10" s="14">
        <v>12125.302507799999</v>
      </c>
      <c r="F10" s="15"/>
      <c r="G10" s="13">
        <v>92</v>
      </c>
      <c r="H10" s="14">
        <v>21136.417368599999</v>
      </c>
      <c r="I10" s="1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EXCEL课件</vt:lpstr>
      <vt:lpstr>单元格引用</vt:lpstr>
      <vt:lpstr>使用函数</vt:lpstr>
      <vt:lpstr>使用定位工具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a30517</cp:lastModifiedBy>
  <cp:lastPrinted>2009-11-19T09:11:05Z</cp:lastPrinted>
  <dcterms:created xsi:type="dcterms:W3CDTF">1996-12-17T01:32:42Z</dcterms:created>
  <dcterms:modified xsi:type="dcterms:W3CDTF">2026-09-18T09:29:56Z</dcterms:modified>
</cp:coreProperties>
</file>