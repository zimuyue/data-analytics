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zimu/Desktop/cli/"/>
    </mc:Choice>
  </mc:AlternateContent>
  <xr:revisionPtr revIDLastSave="0" documentId="13_ncr:1_{B4DD6CC0-1A9A-6B4A-A8A6-4FE769498A01}" xr6:coauthVersionLast="47" xr6:coauthVersionMax="47" xr10:uidLastSave="{00000000-0000-0000-0000-000000000000}"/>
  <bookViews>
    <workbookView xWindow="0" yWindow="660" windowWidth="29400" windowHeight="18460" activeTab="5" xr2:uid="{00000000-000D-0000-FFFF-FFFF00000000}"/>
  </bookViews>
  <sheets>
    <sheet name="EXCEL课件" sheetId="1" r:id="rId1"/>
    <sheet name="测试数据" sheetId="28" r:id="rId2"/>
    <sheet name="数据1" sheetId="25" r:id="rId3"/>
    <sheet name="数据2" sheetId="22" r:id="rId4"/>
    <sheet name="条件公式" sheetId="24" r:id="rId5"/>
    <sheet name="条件甘特图" sheetId="30" r:id="rId6"/>
  </sheets>
  <definedNames>
    <definedName name="_xlnm._FilterDatabase" localSheetId="5" hidden="1">条件甘特图!$A$1:$AE$9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<sst xmlns="http://schemas.openxmlformats.org/spreadsheetml/2006/main" count="284" uniqueCount="97">
  <si>
    <t>一、</t>
    <phoneticPr fontId="1" type="noConversion"/>
  </si>
  <si>
    <t>三、</t>
    <phoneticPr fontId="1" type="noConversion"/>
  </si>
  <si>
    <t>二、</t>
    <phoneticPr fontId="1" type="noConversion"/>
  </si>
  <si>
    <t>使用简单的条件格式</t>
    <phoneticPr fontId="1" type="noConversion"/>
  </si>
  <si>
    <t>定义多重条件的条件格式</t>
    <phoneticPr fontId="1" type="noConversion"/>
  </si>
  <si>
    <t>1、如何管理条件</t>
    <phoneticPr fontId="1" type="noConversion"/>
  </si>
  <si>
    <t>使用公式定义条件格式</t>
    <phoneticPr fontId="1" type="noConversion"/>
  </si>
  <si>
    <t>1、条件格式中公式的书写规则</t>
    <phoneticPr fontId="1" type="noConversion"/>
  </si>
  <si>
    <t>所属区域</t>
  </si>
  <si>
    <t>订购日期</t>
  </si>
  <si>
    <t>彩盒</t>
  </si>
  <si>
    <t>宠物用品</t>
  </si>
  <si>
    <t>服装</t>
  </si>
  <si>
    <t>警告标</t>
  </si>
  <si>
    <t>暖靴</t>
  </si>
  <si>
    <t>睡袋</t>
  </si>
  <si>
    <t>Grand Total</t>
  </si>
  <si>
    <t>常熟</t>
  </si>
  <si>
    <t>第一季</t>
  </si>
  <si>
    <t>第二季</t>
  </si>
  <si>
    <t>第三季</t>
  </si>
  <si>
    <t>第四季</t>
  </si>
  <si>
    <t>昆山</t>
  </si>
  <si>
    <t>南京</t>
  </si>
  <si>
    <t>苏州</t>
  </si>
  <si>
    <t>无锡</t>
  </si>
  <si>
    <t>订购日期</t>
    <phoneticPr fontId="1" type="noConversion"/>
  </si>
  <si>
    <t>所属区域</t>
    <phoneticPr fontId="1" type="noConversion"/>
  </si>
  <si>
    <t>产品类别</t>
    <phoneticPr fontId="1" type="noConversion"/>
  </si>
  <si>
    <t>数量</t>
  </si>
  <si>
    <t>金额</t>
    <phoneticPr fontId="1" type="noConversion"/>
  </si>
  <si>
    <t>成本</t>
    <phoneticPr fontId="1" type="noConversion"/>
  </si>
  <si>
    <t>日期</t>
    <phoneticPr fontId="1" type="noConversion"/>
  </si>
  <si>
    <t>值班人员1</t>
    <phoneticPr fontId="1" type="noConversion"/>
  </si>
  <si>
    <t>值班人员2</t>
    <phoneticPr fontId="1" type="noConversion"/>
  </si>
  <si>
    <t>张三</t>
    <phoneticPr fontId="1" type="noConversion"/>
  </si>
  <si>
    <t>李四</t>
    <phoneticPr fontId="1" type="noConversion"/>
  </si>
  <si>
    <t>王五</t>
    <phoneticPr fontId="1" type="noConversion"/>
  </si>
  <si>
    <t>赵六</t>
    <phoneticPr fontId="1" type="noConversion"/>
  </si>
  <si>
    <t>1、标记周末为红色背景</t>
    <phoneticPr fontId="1" type="noConversion"/>
  </si>
  <si>
    <t>2、将周末整行标记为红颜色背景</t>
    <phoneticPr fontId="1" type="noConversion"/>
  </si>
  <si>
    <t>姓名</t>
    <phoneticPr fontId="1" type="noConversion"/>
  </si>
  <si>
    <t>性别</t>
    <phoneticPr fontId="1" type="noConversion"/>
  </si>
  <si>
    <t>男</t>
  </si>
  <si>
    <t>女</t>
  </si>
  <si>
    <t>生日</t>
    <phoneticPr fontId="1" type="noConversion"/>
  </si>
  <si>
    <t>开始-条件格式-突出显示单元格规则-大于/小于/介于/等于/文本包含/发生日期/重复值/其他规则</t>
    <phoneticPr fontId="1" type="noConversion"/>
  </si>
  <si>
    <t>新建格式规则-目标值筛选公式-设置格式-自定义格式</t>
    <phoneticPr fontId="1" type="noConversion"/>
  </si>
  <si>
    <t>多重嵌套的条件格式 按照条件增加顺序如果后增加的条件与前面的条件有重叠则覆盖</t>
    <phoneticPr fontId="1" type="noConversion"/>
  </si>
  <si>
    <t>隐藏错误值-条件格式-新建规则-经典-仅为包含文本单元格-错误-设置格式-字体白色</t>
    <phoneticPr fontId="1" type="noConversion"/>
  </si>
  <si>
    <t>开始-条件格式-管理规则</t>
    <phoneticPr fontId="1" type="noConversion"/>
  </si>
  <si>
    <t>1000000-2000000   黄色背景</t>
    <phoneticPr fontId="1" type="noConversion"/>
  </si>
  <si>
    <t>2000000以上   绿色背景</t>
    <phoneticPr fontId="1" type="noConversion"/>
  </si>
  <si>
    <t>0-1000000   红色背景</t>
    <phoneticPr fontId="1" type="noConversion"/>
  </si>
  <si>
    <t>重复值   蓝色背景</t>
    <phoneticPr fontId="1" type="noConversion"/>
  </si>
  <si>
    <t>将数量大于100的项目日期标记为红颜色背景</t>
    <phoneticPr fontId="7" type="noConversion"/>
  </si>
  <si>
    <t>条件公式应用场景 根据其他单元格值条件改变当前单元格条件格式</t>
    <phoneticPr fontId="1" type="noConversion"/>
  </si>
  <si>
    <t>标记未来15天内过生日的员工姓名为红色背景</t>
    <phoneticPr fontId="1" type="noConversion"/>
  </si>
  <si>
    <t>条件格式知所以叫格式是因为格式刷也可以刷格式</t>
    <phoneticPr fontId="1" type="noConversion"/>
  </si>
  <si>
    <t>李莉</t>
    <phoneticPr fontId="1" type="noConversion"/>
  </si>
  <si>
    <t>男</t>
    <phoneticPr fontId="1" type="noConversion"/>
  </si>
  <si>
    <t>顾照月</t>
    <phoneticPr fontId="1" type="noConversion"/>
  </si>
  <si>
    <t>程韬</t>
    <phoneticPr fontId="1" type="noConversion"/>
  </si>
  <si>
    <t>刘天飞</t>
    <phoneticPr fontId="1" type="noConversion"/>
  </si>
  <si>
    <t>谭超群</t>
    <phoneticPr fontId="1" type="noConversion"/>
  </si>
  <si>
    <t>夏春</t>
    <phoneticPr fontId="1" type="noConversion"/>
  </si>
  <si>
    <t>吴凤霞</t>
    <phoneticPr fontId="1" type="noConversion"/>
  </si>
  <si>
    <t>丁桂萍</t>
    <phoneticPr fontId="1" type="noConversion"/>
  </si>
  <si>
    <t>严红兰</t>
    <phoneticPr fontId="1" type="noConversion"/>
  </si>
  <si>
    <t>黄俊高</t>
    <phoneticPr fontId="1" type="noConversion"/>
  </si>
  <si>
    <t>樊斌</t>
    <phoneticPr fontId="1" type="noConversion"/>
  </si>
  <si>
    <t>黄春会</t>
    <phoneticPr fontId="1" type="noConversion"/>
  </si>
  <si>
    <t>俞红</t>
    <phoneticPr fontId="1" type="noConversion"/>
  </si>
  <si>
    <t>马国祥</t>
    <phoneticPr fontId="1" type="noConversion"/>
  </si>
  <si>
    <t>徐洁</t>
    <phoneticPr fontId="1" type="noConversion"/>
  </si>
  <si>
    <t>张成军</t>
    <phoneticPr fontId="1" type="noConversion"/>
  </si>
  <si>
    <t>郭万平</t>
    <phoneticPr fontId="1" type="noConversion"/>
  </si>
  <si>
    <t>李庆</t>
    <phoneticPr fontId="1" type="noConversion"/>
  </si>
  <si>
    <t>马安玲</t>
    <phoneticPr fontId="1" type="noConversion"/>
  </si>
  <si>
    <t>林钢</t>
    <phoneticPr fontId="1" type="noConversion"/>
  </si>
  <si>
    <t>孙静</t>
    <phoneticPr fontId="1" type="noConversion"/>
  </si>
  <si>
    <t>戚旭国</t>
    <phoneticPr fontId="1" type="noConversion"/>
  </si>
  <si>
    <t>程晓</t>
    <phoneticPr fontId="1" type="noConversion"/>
  </si>
  <si>
    <t>苏州</t>
    <phoneticPr fontId="1" type="noConversion"/>
  </si>
  <si>
    <t>常熟</t>
    <phoneticPr fontId="1" type="noConversion"/>
  </si>
  <si>
    <t>根据条件整行标记为红颜色背景</t>
    <phoneticPr fontId="7" type="noConversion"/>
  </si>
  <si>
    <t>2、多重条件的优先级问题</t>
    <phoneticPr fontId="1" type="noConversion"/>
  </si>
  <si>
    <t>报告提交</t>
  </si>
  <si>
    <t>数据分析</t>
  </si>
  <si>
    <t>数据录入</t>
  </si>
  <si>
    <t>实地执行</t>
  </si>
  <si>
    <t>问卷确定</t>
  </si>
  <si>
    <t>试访</t>
  </si>
  <si>
    <t>问卷设计</t>
  </si>
  <si>
    <t>项目确定</t>
  </si>
  <si>
    <t>天数</t>
  </si>
  <si>
    <t>计划开始日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</si>
</sst>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m/d;@"/>
  </numFmts>
  <fonts count="13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</font>
    <font>
      <sz val="10"/>
      <color theme="3" tint="-0.249977111117893"/>
      <name val="宋体"/>
      <family val="3"/>
      <charset val="134"/>
    </font>
    <font>
      <sz val="9"/>
      <color theme="0"/>
      <name val="微软雅黑 Light"/>
      <family val="2"/>
      <charset val="134"/>
    </font>
    <font>
      <b/>
      <sz val="6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4506668294322"/>
      </left>
      <right style="thin">
        <color auto="1"/>
      </right>
      <top style="thin">
        <color theme="4" tint="0.39994506668294322"/>
      </top>
      <bottom style="thin">
        <color auto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auto="1"/>
      </bottom>
      <diagonal/>
    </border>
    <border>
      <left style="thin">
        <color auto="1"/>
      </left>
      <right style="thin">
        <color theme="4" tint="0.39994506668294322"/>
      </right>
      <top style="thin">
        <color theme="4" tint="0.399945066682943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4506668294322"/>
      </left>
      <right style="thin">
        <color auto="1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auto="1"/>
      </right>
      <top style="thin">
        <color auto="1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auto="1"/>
      </top>
      <bottom style="thin">
        <color theme="4" tint="0.39994506668294322"/>
      </bottom>
      <diagonal/>
    </border>
    <border>
      <left style="thin">
        <color auto="1"/>
      </left>
      <right style="thin">
        <color theme="4" tint="0.39994506668294322"/>
      </right>
      <top style="thin">
        <color auto="1"/>
      </top>
      <bottom style="thin">
        <color theme="4" tint="0.39994506668294322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5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>
      <alignment vertical="center"/>
    </xf>
    <xf numFmtId="0" fontId="6" fillId="0" borderId="0"/>
  </cellStyleXfs>
  <cellXfs count="53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4" fontId="3" fillId="0" borderId="3" xfId="0" applyNumberFormat="1" applyFont="1" applyBorder="1"/>
    <xf numFmtId="0" fontId="3" fillId="0" borderId="6" xfId="0" applyFont="1" applyBorder="1"/>
    <xf numFmtId="14" fontId="3" fillId="0" borderId="7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0" xfId="0" applyNumberFormat="1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left" vertical="center"/>
    </xf>
    <xf numFmtId="0" fontId="9" fillId="2" borderId="0" xfId="0" applyFont="1" applyFill="1"/>
    <xf numFmtId="0" fontId="9" fillId="2" borderId="2" xfId="0" applyFont="1" applyFill="1" applyBorder="1" applyAlignment="1">
      <alignment horizontal="center" vertical="center"/>
    </xf>
    <xf numFmtId="177" fontId="9" fillId="2" borderId="2" xfId="2" applyNumberFormat="1" applyFont="1" applyFill="1" applyBorder="1" applyAlignment="1">
      <alignment horizontal="center" vertical="center" wrapText="1"/>
    </xf>
    <xf numFmtId="176" fontId="9" fillId="2" borderId="2" xfId="2" applyNumberFormat="1" applyFont="1" applyFill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7" fontId="9" fillId="2" borderId="0" xfId="2" applyNumberFormat="1" applyFont="1" applyFill="1" applyAlignment="1">
      <alignment horizontal="center" vertical="center" wrapText="1"/>
    </xf>
    <xf numFmtId="176" fontId="9" fillId="2" borderId="0" xfId="2" applyNumberFormat="1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10" fillId="0" borderId="0" xfId="0" applyFont="1" applyProtection="1">
      <protection locked="0"/>
    </xf>
    <xf numFmtId="0" fontId="6" fillId="2" borderId="0" xfId="4" applyFill="1"/>
    <xf numFmtId="0" fontId="6" fillId="2" borderId="14" xfId="4" applyFill="1" applyBorder="1"/>
    <xf numFmtId="0" fontId="6" fillId="2" borderId="15" xfId="4" applyFill="1" applyBorder="1"/>
    <xf numFmtId="0" fontId="6" fillId="2" borderId="16" xfId="4" applyFill="1" applyBorder="1"/>
    <xf numFmtId="0" fontId="11" fillId="3" borderId="17" xfId="4" applyFont="1" applyFill="1" applyBorder="1" applyAlignment="1">
      <alignment horizontal="center" vertical="center"/>
    </xf>
    <xf numFmtId="14" fontId="11" fillId="3" borderId="17" xfId="4" applyNumberFormat="1" applyFont="1" applyFill="1" applyBorder="1" applyAlignment="1">
      <alignment horizontal="center" vertical="center"/>
    </xf>
    <xf numFmtId="0" fontId="6" fillId="2" borderId="18" xfId="4" applyFill="1" applyBorder="1"/>
    <xf numFmtId="0" fontId="6" fillId="2" borderId="19" xfId="4" applyFill="1" applyBorder="1"/>
    <xf numFmtId="0" fontId="6" fillId="2" borderId="20" xfId="4" applyFill="1" applyBorder="1"/>
    <xf numFmtId="0" fontId="6" fillId="2" borderId="21" xfId="4" applyFill="1" applyBorder="1"/>
    <xf numFmtId="0" fontId="6" fillId="2" borderId="22" xfId="4" applyFill="1" applyBorder="1"/>
    <xf numFmtId="0" fontId="6" fillId="2" borderId="23" xfId="4" applyFill="1" applyBorder="1"/>
    <xf numFmtId="178" fontId="12" fillId="3" borderId="17" xfId="4" applyNumberFormat="1" applyFont="1" applyFill="1" applyBorder="1" applyAlignment="1">
      <alignment horizontal="center" vertical="center"/>
    </xf>
    <xf numFmtId="0" fontId="11" fillId="3" borderId="24" xfId="4" applyFont="1" applyFill="1" applyBorder="1" applyAlignment="1">
      <alignment horizontal="center" vertical="center"/>
    </xf>
  </cellXfs>
  <cellStyles count="5">
    <cellStyle name="常规" xfId="0" builtinId="0"/>
    <cellStyle name="常规 2" xfId="3" xr:uid="{0356A79F-60D1-604D-AF72-BFA91BE18641}"/>
    <cellStyle name="常规 3" xfId="4" xr:uid="{6B3F37AE-195F-BB4B-8CF1-53F7324096F7}"/>
    <cellStyle name="常规_Sheet1" xfId="2" xr:uid="{00000000-0005-0000-0000-000001000000}"/>
    <cellStyle name="超链接" xfId="1" builtinId="8"/>
  </cellStyles>
  <dxfs count="11">
    <dxf>
      <fill>
        <patternFill patternType="solid">
          <fgColor rgb="FFFFEB9C"/>
          <bgColor rgb="FF00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2:G34"/>
  <sheetViews>
    <sheetView zoomScale="150" zoomScaleNormal="150" workbookViewId="0">
      <selection activeCell="E25" sqref="E25"/>
    </sheetView>
  </sheetViews>
  <sheetFormatPr baseColWidth="10" defaultColWidth="9" defaultRowHeight="15"/>
  <cols>
    <col min="1" max="3" width="9" style="1"/>
    <col min="4" max="4" width="16.6640625" style="1" bestFit="1" customWidth="1"/>
    <col min="5" max="6" width="9" style="1"/>
    <col min="7" max="8" width="9.33203125" style="1" bestFit="1" customWidth="1"/>
    <col min="9" max="16384" width="9" style="1"/>
  </cols>
  <sheetData>
    <row r="2" spans="1:7" s="2" customFormat="1" ht="16" thickBot="1"/>
    <row r="3" spans="1:7" ht="16" thickTop="1"/>
    <row r="4" spans="1:7" s="3" customFormat="1" ht="14">
      <c r="A4" s="3" t="s">
        <v>0</v>
      </c>
      <c r="B4" s="4" t="s">
        <v>3</v>
      </c>
    </row>
    <row r="5" spans="1:7" s="3" customFormat="1" ht="14"/>
    <row r="6" spans="1:7" s="3" customFormat="1" ht="14">
      <c r="C6" s="38" t="s">
        <v>46</v>
      </c>
    </row>
    <row r="7" spans="1:7" s="3" customFormat="1" ht="14">
      <c r="C7" s="38" t="s">
        <v>47</v>
      </c>
    </row>
    <row r="8" spans="1:7" s="3" customFormat="1" ht="14">
      <c r="C8" s="38" t="s">
        <v>58</v>
      </c>
    </row>
    <row r="9" spans="1:7" s="3" customFormat="1" ht="14"/>
    <row r="10" spans="1:7" s="3" customFormat="1" ht="14">
      <c r="A10" s="3" t="s">
        <v>2</v>
      </c>
      <c r="B10" s="4" t="s">
        <v>4</v>
      </c>
    </row>
    <row r="11" spans="1:7" s="3" customFormat="1" ht="14"/>
    <row r="12" spans="1:7" s="3" customFormat="1" ht="14">
      <c r="B12" s="3" t="s">
        <v>5</v>
      </c>
    </row>
    <row r="13" spans="1:7" s="3" customFormat="1" ht="14">
      <c r="C13" s="38" t="s">
        <v>50</v>
      </c>
    </row>
    <row r="14" spans="1:7" s="3" customFormat="1" ht="14"/>
    <row r="15" spans="1:7" s="3" customFormat="1">
      <c r="B15" s="3" t="s">
        <v>86</v>
      </c>
      <c r="C15" s="5"/>
      <c r="G15" s="6"/>
    </row>
    <row r="16" spans="1:7" s="3" customFormat="1">
      <c r="C16" s="38" t="s">
        <v>48</v>
      </c>
      <c r="G16" s="6"/>
    </row>
    <row r="17" spans="1:7" s="3" customFormat="1">
      <c r="C17" s="38" t="s">
        <v>49</v>
      </c>
      <c r="G17" s="6"/>
    </row>
    <row r="18" spans="1:7" s="3" customFormat="1" ht="14"/>
    <row r="19" spans="1:7" s="3" customFormat="1" ht="14">
      <c r="A19" s="3" t="s">
        <v>1</v>
      </c>
      <c r="B19" s="4" t="s">
        <v>6</v>
      </c>
    </row>
    <row r="20" spans="1:7" s="3" customFormat="1" ht="14"/>
    <row r="21" spans="1:7" s="3" customFormat="1" ht="14">
      <c r="B21" s="3" t="s">
        <v>7</v>
      </c>
    </row>
    <row r="22" spans="1:7" s="3" customFormat="1" ht="14">
      <c r="C22" s="38" t="s">
        <v>56</v>
      </c>
    </row>
    <row r="23" spans="1:7" s="3" customFormat="1" ht="14">
      <c r="C23" s="5"/>
    </row>
    <row r="24" spans="1:7" s="3" customFormat="1" ht="14"/>
    <row r="25" spans="1:7" s="3" customFormat="1" ht="14"/>
    <row r="26" spans="1:7" s="3" customFormat="1" ht="14">
      <c r="C26" s="5"/>
    </row>
    <row r="27" spans="1:7" s="3" customFormat="1" ht="14">
      <c r="C27" s="5"/>
    </row>
    <row r="28" spans="1:7">
      <c r="A28" s="3"/>
      <c r="C28" s="3"/>
      <c r="D28" s="3"/>
      <c r="E28" s="3"/>
      <c r="F28" s="3"/>
      <c r="G28" s="3"/>
    </row>
    <row r="29" spans="1:7">
      <c r="C29" s="3"/>
      <c r="E29" s="3"/>
    </row>
    <row r="30" spans="1:7">
      <c r="C30" s="3"/>
      <c r="E30" s="3"/>
    </row>
    <row r="31" spans="1:7">
      <c r="E31" s="3"/>
    </row>
    <row r="32" spans="1:7">
      <c r="E32" s="3"/>
    </row>
    <row r="33" spans="5:5">
      <c r="E33" s="3"/>
    </row>
    <row r="34" spans="5:5">
      <c r="E34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"/>
  <sheetViews>
    <sheetView zoomScale="150" zoomScaleNormal="150" workbookViewId="0">
      <selection activeCell="J6" sqref="J6"/>
    </sheetView>
  </sheetViews>
  <sheetFormatPr baseColWidth="10" defaultColWidth="8.83203125" defaultRowHeight="15"/>
  <cols>
    <col min="9" max="9" width="11.1640625" bestFit="1" customWidth="1"/>
  </cols>
  <sheetData>
    <row r="1" spans="1:12">
      <c r="A1" s="27" t="s">
        <v>8</v>
      </c>
      <c r="B1" s="27" t="s">
        <v>9</v>
      </c>
      <c r="C1" s="27" t="s">
        <v>10</v>
      </c>
      <c r="D1" s="27" t="s">
        <v>11</v>
      </c>
      <c r="E1" s="27" t="s">
        <v>12</v>
      </c>
      <c r="F1" s="27" t="s">
        <v>13</v>
      </c>
      <c r="G1" s="27" t="s">
        <v>14</v>
      </c>
      <c r="H1" s="27" t="s">
        <v>15</v>
      </c>
      <c r="I1" s="27" t="s">
        <v>16</v>
      </c>
    </row>
    <row r="2" spans="1:12">
      <c r="A2" s="14" t="s">
        <v>17</v>
      </c>
      <c r="B2" s="13" t="s">
        <v>18</v>
      </c>
      <c r="C2" s="14">
        <v>147385.43429053845</v>
      </c>
      <c r="D2" s="7">
        <v>537741.91661070008</v>
      </c>
      <c r="E2" s="7"/>
      <c r="F2" s="7">
        <v>42274.334007600002</v>
      </c>
      <c r="G2" s="7">
        <v>125968.855182</v>
      </c>
      <c r="H2" s="7">
        <v>259498.63640864997</v>
      </c>
      <c r="I2" s="15">
        <v>1112869.1764994883</v>
      </c>
    </row>
    <row r="3" spans="1:12">
      <c r="A3" s="12"/>
      <c r="B3" s="13" t="s">
        <v>19</v>
      </c>
      <c r="C3" s="14">
        <v>152208.21895710001</v>
      </c>
      <c r="D3" s="7">
        <v>526995.62271419994</v>
      </c>
      <c r="E3" s="7">
        <v>142448.491836</v>
      </c>
      <c r="F3" s="7">
        <v>169071.14955495001</v>
      </c>
      <c r="G3" s="7">
        <v>48709.077658570517</v>
      </c>
      <c r="H3" s="7">
        <v>232062.56983679999</v>
      </c>
      <c r="I3" s="15">
        <v>1271495.1305576204</v>
      </c>
      <c r="L3" s="7" t="s">
        <v>53</v>
      </c>
    </row>
    <row r="4" spans="1:12">
      <c r="A4" s="12"/>
      <c r="B4" s="13" t="s">
        <v>20</v>
      </c>
      <c r="C4" s="14">
        <v>158873.07715500001</v>
      </c>
      <c r="D4" s="7">
        <v>410925.73939169996</v>
      </c>
      <c r="E4" s="7">
        <v>25452.363945599998</v>
      </c>
      <c r="F4" s="7">
        <v>135515.7327585</v>
      </c>
      <c r="G4" s="7">
        <v>177284.6252325</v>
      </c>
      <c r="H4" s="7">
        <v>566625.07584915007</v>
      </c>
      <c r="I4" s="15">
        <v>1474676.6143324501</v>
      </c>
      <c r="L4" s="7" t="s">
        <v>51</v>
      </c>
    </row>
    <row r="5" spans="1:12">
      <c r="A5" s="12"/>
      <c r="B5" s="13" t="s">
        <v>21</v>
      </c>
      <c r="C5" s="14">
        <v>156335.21842019999</v>
      </c>
      <c r="D5" s="7">
        <v>174838.56557489999</v>
      </c>
      <c r="E5" s="7">
        <v>4376.1828887999991</v>
      </c>
      <c r="F5" s="7">
        <v>301963.89313124993</v>
      </c>
      <c r="G5" s="7">
        <v>319691.59040190006</v>
      </c>
      <c r="H5" s="7">
        <v>2096814.3553688994</v>
      </c>
      <c r="I5" s="15">
        <v>3054019.8057859493</v>
      </c>
      <c r="L5" s="7" t="s">
        <v>52</v>
      </c>
    </row>
    <row r="6" spans="1:12">
      <c r="A6" s="8" t="s">
        <v>22</v>
      </c>
      <c r="B6" s="11" t="s">
        <v>18</v>
      </c>
      <c r="C6" s="8">
        <v>31994.828579700003</v>
      </c>
      <c r="D6" s="9">
        <v>194843.32661774999</v>
      </c>
      <c r="E6" s="9"/>
      <c r="F6" s="9">
        <v>8700.8413053589738</v>
      </c>
      <c r="G6" s="9">
        <v>13733.198131715384</v>
      </c>
      <c r="H6" s="9">
        <v>113682.91990650001</v>
      </c>
      <c r="I6" s="10">
        <v>362955.11454102438</v>
      </c>
      <c r="L6" s="7" t="s">
        <v>54</v>
      </c>
    </row>
    <row r="7" spans="1:12">
      <c r="A7" s="12"/>
      <c r="B7" s="13" t="s">
        <v>19</v>
      </c>
      <c r="C7" s="14">
        <v>67363.484081400005</v>
      </c>
      <c r="D7" s="7">
        <v>65331.176202000002</v>
      </c>
      <c r="E7" s="7"/>
      <c r="F7" s="7">
        <v>55060.393091999998</v>
      </c>
      <c r="G7" s="7">
        <v>22772.51181</v>
      </c>
      <c r="H7" s="7">
        <v>182572.73153339999</v>
      </c>
      <c r="I7" s="15">
        <v>393100.29671879997</v>
      </c>
    </row>
    <row r="8" spans="1:12">
      <c r="A8" s="12"/>
      <c r="B8" s="13" t="s">
        <v>20</v>
      </c>
      <c r="C8" s="14">
        <v>131516.49143609998</v>
      </c>
      <c r="D8" s="7">
        <v>218972.64300059999</v>
      </c>
      <c r="E8" s="7"/>
      <c r="F8" s="7">
        <v>160839.22972800001</v>
      </c>
      <c r="G8" s="7">
        <v>36758.283945000003</v>
      </c>
      <c r="H8" s="7">
        <v>413186.3738593231</v>
      </c>
      <c r="I8" s="15">
        <v>961273.02196902304</v>
      </c>
    </row>
    <row r="9" spans="1:12">
      <c r="A9" s="12"/>
      <c r="B9" s="13" t="s">
        <v>21</v>
      </c>
      <c r="C9" s="14">
        <v>368893.40480580006</v>
      </c>
      <c r="D9" s="7">
        <v>102060.48986999999</v>
      </c>
      <c r="E9" s="7"/>
      <c r="F9" s="7">
        <v>226780.81200899999</v>
      </c>
      <c r="G9" s="7">
        <v>198396.26559599998</v>
      </c>
      <c r="H9" s="7">
        <v>1019924.5696168498</v>
      </c>
      <c r="I9" s="15">
        <v>1916055.5418976499</v>
      </c>
    </row>
    <row r="10" spans="1:12">
      <c r="A10" s="8" t="s">
        <v>23</v>
      </c>
      <c r="B10" s="11" t="s">
        <v>18</v>
      </c>
      <c r="C10" s="8">
        <v>9821.0800770000005</v>
      </c>
      <c r="D10" s="9">
        <v>175500.3372825</v>
      </c>
      <c r="E10" s="9"/>
      <c r="F10" s="9">
        <v>93485.756400000013</v>
      </c>
      <c r="G10" s="9">
        <v>85171.443075000003</v>
      </c>
      <c r="H10" s="9">
        <v>55992.277343307695</v>
      </c>
      <c r="I10" s="10">
        <v>419970.89417780773</v>
      </c>
    </row>
    <row r="11" spans="1:12">
      <c r="A11" s="12"/>
      <c r="B11" s="13" t="s">
        <v>19</v>
      </c>
      <c r="C11" s="14">
        <v>25350.163679999998</v>
      </c>
      <c r="D11" s="7">
        <v>135611.13151291796</v>
      </c>
      <c r="E11" s="7"/>
      <c r="F11" s="7">
        <v>112417.94955</v>
      </c>
      <c r="G11" s="7">
        <v>26799.458400000003</v>
      </c>
      <c r="H11" s="7">
        <v>225147.46622999996</v>
      </c>
      <c r="I11" s="15">
        <v>525326.16937291785</v>
      </c>
    </row>
    <row r="12" spans="1:12">
      <c r="A12" s="12"/>
      <c r="B12" s="13" t="s">
        <v>20</v>
      </c>
      <c r="C12" s="14">
        <v>189895.87094999998</v>
      </c>
      <c r="D12" s="7">
        <v>85415.593793549982</v>
      </c>
      <c r="E12" s="7"/>
      <c r="F12" s="7">
        <v>77298.321299999996</v>
      </c>
      <c r="G12" s="7">
        <v>52185.542099999999</v>
      </c>
      <c r="H12" s="7">
        <v>373823.08396799996</v>
      </c>
      <c r="I12" s="15">
        <v>778618.41211154987</v>
      </c>
    </row>
    <row r="13" spans="1:12">
      <c r="A13" s="12"/>
      <c r="B13" s="13" t="s">
        <v>21</v>
      </c>
      <c r="C13" s="14">
        <v>270287.45258100005</v>
      </c>
      <c r="D13" s="7">
        <v>14355.982602</v>
      </c>
      <c r="E13" s="7"/>
      <c r="F13" s="7">
        <v>154732.78728449999</v>
      </c>
      <c r="G13" s="7">
        <v>484141.27408799995</v>
      </c>
      <c r="H13" s="7">
        <v>567790.16121960012</v>
      </c>
      <c r="I13" s="15">
        <v>1491307.6577751001</v>
      </c>
    </row>
    <row r="14" spans="1:12">
      <c r="A14" s="8" t="s">
        <v>24</v>
      </c>
      <c r="B14" s="11" t="s">
        <v>18</v>
      </c>
      <c r="C14" s="14">
        <v>368893.40480580006</v>
      </c>
      <c r="D14" s="7">
        <v>102060.48986999999</v>
      </c>
      <c r="E14" s="7"/>
      <c r="F14" s="7">
        <v>226780.81200899999</v>
      </c>
      <c r="G14" s="7">
        <v>198396.26559599998</v>
      </c>
      <c r="H14" s="7">
        <v>1019924.5696168498</v>
      </c>
      <c r="I14" s="15">
        <v>1916055.5418976499</v>
      </c>
    </row>
    <row r="15" spans="1:12">
      <c r="A15" s="12"/>
      <c r="B15" s="13" t="s">
        <v>19</v>
      </c>
      <c r="C15" s="14">
        <v>442512.86012700002</v>
      </c>
      <c r="D15" s="7">
        <v>299264.08586280001</v>
      </c>
      <c r="E15" s="7">
        <v>27373.397850000001</v>
      </c>
      <c r="F15" s="7">
        <v>233924.60120400001</v>
      </c>
      <c r="G15" s="7">
        <v>40373.555871000004</v>
      </c>
      <c r="H15" s="7">
        <v>525930.55898204993</v>
      </c>
      <c r="I15" s="15">
        <v>1569379.05989685</v>
      </c>
    </row>
    <row r="16" spans="1:12">
      <c r="A16" s="12"/>
      <c r="B16" s="13" t="s">
        <v>20</v>
      </c>
      <c r="C16" s="14">
        <v>403625.18273549998</v>
      </c>
      <c r="D16" s="7">
        <v>152675.08941705001</v>
      </c>
      <c r="E16" s="7">
        <v>230995.87018199998</v>
      </c>
      <c r="F16" s="7">
        <v>169430.67381599999</v>
      </c>
      <c r="G16" s="7">
        <v>145518.12304080001</v>
      </c>
      <c r="H16" s="7">
        <v>465886.05978851538</v>
      </c>
      <c r="I16" s="15">
        <v>1568130.9989798653</v>
      </c>
    </row>
    <row r="17" spans="1:9">
      <c r="A17" s="12"/>
      <c r="B17" s="13" t="s">
        <v>21</v>
      </c>
      <c r="C17" s="14">
        <v>335483.49922950001</v>
      </c>
      <c r="D17" s="7">
        <v>237566.969319</v>
      </c>
      <c r="E17" s="7">
        <v>27954.247999499999</v>
      </c>
      <c r="F17" s="7">
        <v>211878.07204169998</v>
      </c>
      <c r="G17" s="7">
        <v>119557.04358058717</v>
      </c>
      <c r="H17" s="7">
        <v>1189811.4206456721</v>
      </c>
      <c r="I17" s="15">
        <v>2122251.252815959</v>
      </c>
    </row>
    <row r="18" spans="1:9">
      <c r="A18" s="8" t="s">
        <v>25</v>
      </c>
      <c r="B18" s="11" t="s">
        <v>18</v>
      </c>
      <c r="C18" s="8">
        <v>502710.10723672429</v>
      </c>
      <c r="D18" s="9">
        <v>27499.508354999998</v>
      </c>
      <c r="E18" s="9">
        <v>65038.420230299991</v>
      </c>
      <c r="F18" s="9">
        <v>241916.51556413207</v>
      </c>
      <c r="G18" s="9">
        <v>333380.14779750007</v>
      </c>
      <c r="H18" s="9">
        <v>299651.32710449997</v>
      </c>
      <c r="I18" s="10">
        <v>1470196.0262881564</v>
      </c>
    </row>
    <row r="19" spans="1:9">
      <c r="A19" s="12"/>
      <c r="B19" s="13" t="s">
        <v>19</v>
      </c>
      <c r="C19" s="14">
        <v>631182.09469665634</v>
      </c>
      <c r="D19" s="7">
        <v>817061.52849899989</v>
      </c>
      <c r="E19" s="7">
        <v>109767.95397885</v>
      </c>
      <c r="F19" s="7">
        <v>400699.76660676143</v>
      </c>
      <c r="G19" s="7">
        <v>663159.17693774996</v>
      </c>
      <c r="H19" s="7">
        <v>559399.80286964995</v>
      </c>
      <c r="I19" s="15">
        <v>3181270.3235886674</v>
      </c>
    </row>
    <row r="20" spans="1:9">
      <c r="A20" s="12"/>
      <c r="B20" s="13" t="s">
        <v>20</v>
      </c>
      <c r="C20" s="14">
        <v>219841.61198870896</v>
      </c>
      <c r="D20" s="7">
        <v>271280.64053333079</v>
      </c>
      <c r="E20" s="7">
        <v>67639.854397153846</v>
      </c>
      <c r="F20" s="7">
        <v>683124.43767164997</v>
      </c>
      <c r="G20" s="7">
        <v>353417.46738185245</v>
      </c>
      <c r="H20" s="7">
        <v>246087.44263548846</v>
      </c>
      <c r="I20" s="15">
        <v>1841391.4546081845</v>
      </c>
    </row>
    <row r="21" spans="1:9">
      <c r="A21" s="12"/>
      <c r="B21" s="13" t="s">
        <v>21</v>
      </c>
      <c r="C21" s="14">
        <v>430050.77659734618</v>
      </c>
      <c r="D21" s="7">
        <v>83543.251038000002</v>
      </c>
      <c r="E21" s="7">
        <v>109534.00709548719</v>
      </c>
      <c r="F21" s="7">
        <v>484850.24885317171</v>
      </c>
      <c r="G21" s="7">
        <v>963266.90303549985</v>
      </c>
      <c r="H21" s="7">
        <v>108061.62598730769</v>
      </c>
      <c r="I21" s="15">
        <v>2179306.8126068129</v>
      </c>
    </row>
    <row r="22" spans="1:9">
      <c r="A22" s="16" t="s">
        <v>16</v>
      </c>
      <c r="B22" s="17"/>
      <c r="C22" s="16">
        <v>5095342.1912583746</v>
      </c>
      <c r="D22" s="18">
        <v>5009241.8222613987</v>
      </c>
      <c r="E22" s="18">
        <v>810580.790403691</v>
      </c>
      <c r="F22" s="18">
        <v>4011537.7561055743</v>
      </c>
      <c r="G22" s="18">
        <v>4259049.1719826758</v>
      </c>
      <c r="H22" s="18">
        <v>9701861.2562810127</v>
      </c>
      <c r="I22" s="19">
        <v>28887612.98829272</v>
      </c>
    </row>
  </sheetData>
  <phoneticPr fontId="1" type="noConversion"/>
  <conditionalFormatting sqref="I2:I21">
    <cfRule type="duplicateValues" dxfId="10" priority="1"/>
    <cfRule type="cellIs" dxfId="9" priority="2" operator="greaterThan">
      <formula>2000000</formula>
    </cfRule>
    <cfRule type="cellIs" dxfId="8" priority="3" operator="between">
      <formula>1000000</formula>
      <formula>2000000</formula>
    </cfRule>
    <cfRule type="cellIs" dxfId="7" priority="4" operator="between">
      <formula>0</formula>
      <formula>1000000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"/>
  <sheetViews>
    <sheetView zoomScale="150" workbookViewId="0">
      <selection activeCell="G5" sqref="G5"/>
    </sheetView>
  </sheetViews>
  <sheetFormatPr baseColWidth="10" defaultColWidth="8.83203125" defaultRowHeight="15"/>
  <cols>
    <col min="1" max="1" width="10.33203125" bestFit="1" customWidth="1"/>
    <col min="4" max="4" width="9" bestFit="1" customWidth="1"/>
    <col min="5" max="6" width="10.33203125" bestFit="1" customWidth="1"/>
  </cols>
  <sheetData>
    <row r="1" spans="1:10">
      <c r="A1" s="34" t="s">
        <v>26</v>
      </c>
      <c r="B1" s="34" t="s">
        <v>27</v>
      </c>
      <c r="C1" s="34" t="s">
        <v>28</v>
      </c>
      <c r="D1" s="35" t="s">
        <v>29</v>
      </c>
      <c r="E1" s="36" t="s">
        <v>30</v>
      </c>
      <c r="F1" s="36" t="s">
        <v>31</v>
      </c>
    </row>
    <row r="2" spans="1:10">
      <c r="A2" s="31">
        <v>39162</v>
      </c>
      <c r="B2" s="32" t="s">
        <v>24</v>
      </c>
      <c r="C2" s="32" t="s">
        <v>11</v>
      </c>
      <c r="D2" s="32">
        <v>16</v>
      </c>
      <c r="E2" s="33">
        <v>19269.685163999999</v>
      </c>
      <c r="F2" s="33">
        <v>18982.847759558852</v>
      </c>
    </row>
    <row r="3" spans="1:10">
      <c r="A3" s="22">
        <v>39200</v>
      </c>
      <c r="B3" s="20" t="s">
        <v>24</v>
      </c>
      <c r="C3" s="20" t="s">
        <v>11</v>
      </c>
      <c r="D3" s="20">
        <v>40</v>
      </c>
      <c r="E3" s="21">
        <v>39465.169800000003</v>
      </c>
      <c r="F3" s="21">
        <v>40893.083149311875</v>
      </c>
    </row>
    <row r="4" spans="1:10">
      <c r="A4" s="22">
        <v>39200</v>
      </c>
      <c r="B4" s="20" t="s">
        <v>24</v>
      </c>
      <c r="C4" s="20" t="s">
        <v>11</v>
      </c>
      <c r="D4" s="20">
        <v>20</v>
      </c>
      <c r="E4" s="21">
        <v>21015.944745000001</v>
      </c>
      <c r="F4" s="21">
        <v>22294.085220814908</v>
      </c>
    </row>
    <row r="5" spans="1:10">
      <c r="A5" s="22">
        <v>39233</v>
      </c>
      <c r="B5" s="20" t="s">
        <v>24</v>
      </c>
      <c r="C5" s="20" t="s">
        <v>11</v>
      </c>
      <c r="D5" s="20">
        <v>20</v>
      </c>
      <c r="E5" s="21">
        <v>23710.258592999999</v>
      </c>
      <c r="F5" s="21">
        <v>24318.374117613792</v>
      </c>
      <c r="J5" s="7" t="s">
        <v>55</v>
      </c>
    </row>
    <row r="6" spans="1:10">
      <c r="A6" s="22">
        <v>39246</v>
      </c>
      <c r="B6" s="20" t="s">
        <v>24</v>
      </c>
      <c r="C6" s="20" t="s">
        <v>11</v>
      </c>
      <c r="D6" s="20">
        <v>16</v>
      </c>
      <c r="E6" s="21">
        <v>20015.072431199998</v>
      </c>
      <c r="F6" s="21">
        <v>20256.694699447638</v>
      </c>
    </row>
    <row r="7" spans="1:10">
      <c r="A7" s="22">
        <v>39279</v>
      </c>
      <c r="B7" s="20" t="s">
        <v>24</v>
      </c>
      <c r="C7" s="20" t="s">
        <v>11</v>
      </c>
      <c r="D7" s="20">
        <v>200</v>
      </c>
      <c r="E7" s="21">
        <v>40014.12141</v>
      </c>
      <c r="F7" s="21">
        <v>43537.557757683368</v>
      </c>
    </row>
    <row r="8" spans="1:10">
      <c r="A8" s="22">
        <v>39339</v>
      </c>
      <c r="B8" s="20" t="s">
        <v>24</v>
      </c>
      <c r="C8" s="20" t="s">
        <v>11</v>
      </c>
      <c r="D8" s="20">
        <v>100</v>
      </c>
      <c r="E8" s="21">
        <v>21423.94932</v>
      </c>
      <c r="F8" s="21">
        <v>22917.339613203356</v>
      </c>
    </row>
    <row r="9" spans="1:10">
      <c r="A9" s="22">
        <v>39374</v>
      </c>
      <c r="B9" s="20" t="s">
        <v>24</v>
      </c>
      <c r="C9" s="20" t="s">
        <v>11</v>
      </c>
      <c r="D9" s="20">
        <v>200</v>
      </c>
      <c r="E9" s="21">
        <v>40014.12141</v>
      </c>
      <c r="F9" s="21">
        <v>44258.364560249865</v>
      </c>
    </row>
    <row r="10" spans="1:10">
      <c r="A10" s="22">
        <v>39406</v>
      </c>
      <c r="B10" s="20" t="s">
        <v>24</v>
      </c>
      <c r="C10" s="20" t="s">
        <v>11</v>
      </c>
      <c r="D10" s="20">
        <v>400</v>
      </c>
      <c r="E10" s="21">
        <v>84271.490399999995</v>
      </c>
      <c r="F10" s="21">
        <v>92391.153643258687</v>
      </c>
    </row>
    <row r="11" spans="1:10">
      <c r="A11" s="22">
        <v>39162</v>
      </c>
      <c r="B11" s="20" t="s">
        <v>17</v>
      </c>
      <c r="C11" s="20" t="s">
        <v>11</v>
      </c>
      <c r="D11" s="20">
        <v>212</v>
      </c>
      <c r="E11" s="21">
        <v>48705.657414599991</v>
      </c>
      <c r="F11" s="21">
        <v>51700.030820578511</v>
      </c>
    </row>
    <row r="12" spans="1:10">
      <c r="A12" s="22">
        <v>39200</v>
      </c>
      <c r="B12" s="20" t="s">
        <v>17</v>
      </c>
      <c r="C12" s="20" t="s">
        <v>11</v>
      </c>
      <c r="D12" s="20">
        <v>224</v>
      </c>
      <c r="E12" s="21">
        <v>47192.034624</v>
      </c>
      <c r="F12" s="21">
        <v>50558.498384562939</v>
      </c>
    </row>
    <row r="13" spans="1:10">
      <c r="A13" s="22">
        <v>39200</v>
      </c>
      <c r="B13" s="20" t="s">
        <v>17</v>
      </c>
      <c r="C13" s="20" t="s">
        <v>11</v>
      </c>
      <c r="D13" s="20">
        <v>92</v>
      </c>
      <c r="E13" s="21">
        <v>21136.417368599999</v>
      </c>
      <c r="F13" s="21">
        <v>22115.228953458598</v>
      </c>
    </row>
    <row r="14" spans="1:10">
      <c r="A14" s="22">
        <v>39233</v>
      </c>
      <c r="B14" s="20" t="s">
        <v>17</v>
      </c>
      <c r="C14" s="20" t="s">
        <v>11</v>
      </c>
      <c r="D14" s="20">
        <v>100</v>
      </c>
      <c r="E14" s="21">
        <v>27499.508355000002</v>
      </c>
      <c r="F14" s="21">
        <v>30712.177367957313</v>
      </c>
    </row>
    <row r="15" spans="1:10">
      <c r="A15" s="22">
        <v>39246</v>
      </c>
      <c r="B15" s="20" t="s">
        <v>17</v>
      </c>
      <c r="C15" s="20" t="s">
        <v>11</v>
      </c>
      <c r="D15" s="20">
        <v>140</v>
      </c>
      <c r="E15" s="21">
        <v>29993.529048</v>
      </c>
      <c r="F15" s="21">
        <v>32726.657776180989</v>
      </c>
    </row>
    <row r="16" spans="1:10">
      <c r="A16" s="22">
        <v>39279</v>
      </c>
      <c r="B16" s="20" t="s">
        <v>17</v>
      </c>
      <c r="C16" s="20" t="s">
        <v>11</v>
      </c>
      <c r="D16" s="20">
        <v>108</v>
      </c>
      <c r="E16" s="21">
        <v>34682.76271979999</v>
      </c>
      <c r="F16" s="21">
        <v>35738.658109519878</v>
      </c>
    </row>
    <row r="17" spans="1:6">
      <c r="A17" s="22">
        <v>39339</v>
      </c>
      <c r="B17" s="20" t="s">
        <v>17</v>
      </c>
      <c r="C17" s="20" t="s">
        <v>11</v>
      </c>
      <c r="D17" s="20">
        <v>72</v>
      </c>
      <c r="E17" s="21">
        <v>12492.951721200001</v>
      </c>
      <c r="F17" s="21">
        <v>11098.923925167686</v>
      </c>
    </row>
    <row r="18" spans="1:6">
      <c r="A18" s="22">
        <v>39374</v>
      </c>
      <c r="B18" s="20" t="s">
        <v>17</v>
      </c>
      <c r="C18" s="20" t="s">
        <v>11</v>
      </c>
      <c r="D18" s="20">
        <v>32</v>
      </c>
      <c r="E18" s="21">
        <v>30449.307249599999</v>
      </c>
      <c r="F18" s="21">
        <v>29398.00409440554</v>
      </c>
    </row>
    <row r="19" spans="1:6">
      <c r="A19" s="22">
        <v>39406</v>
      </c>
      <c r="B19" s="20" t="s">
        <v>17</v>
      </c>
      <c r="C19" s="20" t="s">
        <v>11</v>
      </c>
      <c r="D19" s="20">
        <v>12</v>
      </c>
      <c r="E19" s="21">
        <v>12125.302507799999</v>
      </c>
      <c r="F19" s="21">
        <v>11641.50878367756</v>
      </c>
    </row>
    <row r="20" spans="1:6">
      <c r="A20" s="22">
        <v>39164</v>
      </c>
      <c r="B20" s="20" t="s">
        <v>24</v>
      </c>
      <c r="C20" s="20" t="s">
        <v>11</v>
      </c>
      <c r="D20" s="20">
        <v>20</v>
      </c>
      <c r="E20" s="21">
        <v>22920.955196999999</v>
      </c>
      <c r="F20" s="21">
        <v>22707.050330980284</v>
      </c>
    </row>
    <row r="21" spans="1:6">
      <c r="A21" s="22">
        <v>39349</v>
      </c>
      <c r="B21" s="20" t="s">
        <v>24</v>
      </c>
      <c r="C21" s="20" t="s">
        <v>12</v>
      </c>
      <c r="D21" s="20">
        <v>60</v>
      </c>
      <c r="E21" s="21">
        <v>17794.934082</v>
      </c>
      <c r="F21" s="21">
        <v>18667.471284403004</v>
      </c>
    </row>
    <row r="22" spans="1:6">
      <c r="A22" s="22">
        <v>39164</v>
      </c>
      <c r="B22" s="20" t="s">
        <v>17</v>
      </c>
      <c r="C22" s="20" t="s">
        <v>11</v>
      </c>
      <c r="D22" s="20">
        <v>24</v>
      </c>
      <c r="E22" s="21">
        <v>8325.0737135999989</v>
      </c>
      <c r="F22" s="21">
        <v>8601.7455508359071</v>
      </c>
    </row>
  </sheetData>
  <phoneticPr fontId="7" type="noConversion"/>
  <conditionalFormatting sqref="A2:A22">
    <cfRule type="expression" dxfId="6" priority="1">
      <formula>$D2&gt;100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2"/>
  <sheetViews>
    <sheetView zoomScale="150" zoomScaleNormal="150" workbookViewId="0">
      <selection activeCell="H13" sqref="H13"/>
    </sheetView>
  </sheetViews>
  <sheetFormatPr baseColWidth="10" defaultColWidth="8.83203125" defaultRowHeight="15"/>
  <cols>
    <col min="1" max="1" width="10.33203125" bestFit="1" customWidth="1"/>
    <col min="4" max="4" width="9" bestFit="1" customWidth="1"/>
    <col min="5" max="6" width="10.33203125" bestFit="1" customWidth="1"/>
  </cols>
  <sheetData>
    <row r="1" spans="1:12">
      <c r="A1" s="28" t="s">
        <v>26</v>
      </c>
      <c r="B1" s="28" t="s">
        <v>27</v>
      </c>
      <c r="C1" s="28" t="s">
        <v>28</v>
      </c>
      <c r="D1" s="29" t="s">
        <v>29</v>
      </c>
      <c r="E1" s="30" t="s">
        <v>30</v>
      </c>
      <c r="F1" s="30" t="s">
        <v>31</v>
      </c>
      <c r="J1" s="28" t="s">
        <v>27</v>
      </c>
      <c r="K1" s="29" t="s">
        <v>29</v>
      </c>
      <c r="L1" s="7" t="s">
        <v>85</v>
      </c>
    </row>
    <row r="2" spans="1:12">
      <c r="A2" s="22">
        <v>39162</v>
      </c>
      <c r="B2" s="20" t="s">
        <v>24</v>
      </c>
      <c r="C2" s="20" t="s">
        <v>11</v>
      </c>
      <c r="D2" s="20">
        <v>16</v>
      </c>
      <c r="E2" s="21">
        <v>19269.685163999999</v>
      </c>
      <c r="F2" s="21">
        <v>18982.847759558852</v>
      </c>
      <c r="J2" s="20" t="s">
        <v>83</v>
      </c>
      <c r="K2" s="20">
        <v>100</v>
      </c>
    </row>
    <row r="3" spans="1:12">
      <c r="A3" s="22">
        <v>39200</v>
      </c>
      <c r="B3" s="20" t="s">
        <v>24</v>
      </c>
      <c r="C3" s="20" t="s">
        <v>11</v>
      </c>
      <c r="D3" s="20">
        <v>40</v>
      </c>
      <c r="E3" s="21">
        <v>39465.169800000003</v>
      </c>
      <c r="F3" s="21">
        <v>40893.083149311875</v>
      </c>
      <c r="J3" s="20" t="s">
        <v>84</v>
      </c>
      <c r="K3" s="20">
        <v>200</v>
      </c>
    </row>
    <row r="4" spans="1:12">
      <c r="A4" s="22">
        <v>39200</v>
      </c>
      <c r="B4" s="20" t="s">
        <v>24</v>
      </c>
      <c r="C4" s="20" t="s">
        <v>11</v>
      </c>
      <c r="D4" s="20">
        <v>20</v>
      </c>
      <c r="E4" s="21">
        <v>21015.944745000001</v>
      </c>
      <c r="F4" s="21">
        <v>22294.085220814908</v>
      </c>
    </row>
    <row r="5" spans="1:12">
      <c r="A5" s="22">
        <v>39233</v>
      </c>
      <c r="B5" s="20" t="s">
        <v>24</v>
      </c>
      <c r="C5" s="20" t="s">
        <v>11</v>
      </c>
      <c r="D5" s="20">
        <v>20</v>
      </c>
      <c r="E5" s="21">
        <v>23710.258592999999</v>
      </c>
      <c r="F5" s="21">
        <v>24318.374117613792</v>
      </c>
    </row>
    <row r="6" spans="1:12">
      <c r="A6" s="22">
        <v>39246</v>
      </c>
      <c r="B6" s="20" t="s">
        <v>24</v>
      </c>
      <c r="C6" s="20" t="s">
        <v>11</v>
      </c>
      <c r="D6" s="20">
        <v>16</v>
      </c>
      <c r="E6" s="21">
        <v>20015.072431199998</v>
      </c>
      <c r="F6" s="21">
        <v>20256.694699447638</v>
      </c>
    </row>
    <row r="7" spans="1:12">
      <c r="A7" s="22">
        <v>39279</v>
      </c>
      <c r="B7" s="20" t="s">
        <v>24</v>
      </c>
      <c r="C7" s="20" t="s">
        <v>11</v>
      </c>
      <c r="D7" s="20">
        <v>200</v>
      </c>
      <c r="E7" s="21">
        <v>40014.12141</v>
      </c>
      <c r="F7" s="21">
        <v>43537.557757683368</v>
      </c>
    </row>
    <row r="8" spans="1:12">
      <c r="A8" s="22">
        <v>39339</v>
      </c>
      <c r="B8" s="20" t="s">
        <v>24</v>
      </c>
      <c r="C8" s="20" t="s">
        <v>11</v>
      </c>
      <c r="D8" s="20">
        <v>100</v>
      </c>
      <c r="E8" s="21">
        <v>21423.94932</v>
      </c>
      <c r="F8" s="21">
        <v>22917.339613203356</v>
      </c>
    </row>
    <row r="9" spans="1:12">
      <c r="A9" s="22">
        <v>39374</v>
      </c>
      <c r="B9" s="20" t="s">
        <v>24</v>
      </c>
      <c r="C9" s="20" t="s">
        <v>11</v>
      </c>
      <c r="D9" s="20">
        <v>200</v>
      </c>
      <c r="E9" s="21">
        <v>40014.12141</v>
      </c>
      <c r="F9" s="21">
        <v>44258.364560249865</v>
      </c>
    </row>
    <row r="10" spans="1:12">
      <c r="A10" s="22">
        <v>39406</v>
      </c>
      <c r="B10" s="20" t="s">
        <v>24</v>
      </c>
      <c r="C10" s="20" t="s">
        <v>11</v>
      </c>
      <c r="D10" s="20">
        <v>400</v>
      </c>
      <c r="E10" s="21">
        <v>84271.490399999995</v>
      </c>
      <c r="F10" s="21">
        <v>92391.153643258687</v>
      </c>
    </row>
    <row r="11" spans="1:12">
      <c r="A11" s="22">
        <v>39162</v>
      </c>
      <c r="B11" s="20" t="s">
        <v>17</v>
      </c>
      <c r="C11" s="20" t="s">
        <v>11</v>
      </c>
      <c r="D11" s="20">
        <v>212</v>
      </c>
      <c r="E11" s="21">
        <v>48705.657414599991</v>
      </c>
      <c r="F11" s="21">
        <v>51700.030820578511</v>
      </c>
    </row>
    <row r="12" spans="1:12">
      <c r="A12" s="22">
        <v>39200</v>
      </c>
      <c r="B12" s="20" t="s">
        <v>17</v>
      </c>
      <c r="C12" s="20" t="s">
        <v>11</v>
      </c>
      <c r="D12" s="20">
        <v>224</v>
      </c>
      <c r="E12" s="21">
        <v>47192.034624</v>
      </c>
      <c r="F12" s="21">
        <v>50558.498384562939</v>
      </c>
    </row>
    <row r="13" spans="1:12">
      <c r="A13" s="22">
        <v>39200</v>
      </c>
      <c r="B13" s="20" t="s">
        <v>17</v>
      </c>
      <c r="C13" s="20" t="s">
        <v>11</v>
      </c>
      <c r="D13" s="20">
        <v>92</v>
      </c>
      <c r="E13" s="21">
        <v>21136.417368599999</v>
      </c>
      <c r="F13" s="21">
        <v>22115.228953458598</v>
      </c>
    </row>
    <row r="14" spans="1:12">
      <c r="A14" s="22">
        <v>39233</v>
      </c>
      <c r="B14" s="20" t="s">
        <v>17</v>
      </c>
      <c r="C14" s="20" t="s">
        <v>11</v>
      </c>
      <c r="D14" s="20">
        <v>100</v>
      </c>
      <c r="E14" s="21">
        <v>27499.508355000002</v>
      </c>
      <c r="F14" s="21">
        <v>30712.177367957313</v>
      </c>
    </row>
    <row r="15" spans="1:12">
      <c r="A15" s="22">
        <v>39246</v>
      </c>
      <c r="B15" s="20" t="s">
        <v>17</v>
      </c>
      <c r="C15" s="20" t="s">
        <v>11</v>
      </c>
      <c r="D15" s="20">
        <v>140</v>
      </c>
      <c r="E15" s="21">
        <v>29993.529048</v>
      </c>
      <c r="F15" s="21">
        <v>32726.657776180989</v>
      </c>
    </row>
    <row r="16" spans="1:12">
      <c r="A16" s="22">
        <v>39279</v>
      </c>
      <c r="B16" s="20" t="s">
        <v>17</v>
      </c>
      <c r="C16" s="20" t="s">
        <v>11</v>
      </c>
      <c r="D16" s="20">
        <v>108</v>
      </c>
      <c r="E16" s="21">
        <v>34682.76271979999</v>
      </c>
      <c r="F16" s="21">
        <v>35738.658109519878</v>
      </c>
    </row>
    <row r="17" spans="1:6">
      <c r="A17" s="22">
        <v>39339</v>
      </c>
      <c r="B17" s="20" t="s">
        <v>17</v>
      </c>
      <c r="C17" s="20" t="s">
        <v>11</v>
      </c>
      <c r="D17" s="20">
        <v>72</v>
      </c>
      <c r="E17" s="21">
        <v>12492.951721200001</v>
      </c>
      <c r="F17" s="21">
        <v>11098.923925167686</v>
      </c>
    </row>
    <row r="18" spans="1:6">
      <c r="A18" s="22">
        <v>39374</v>
      </c>
      <c r="B18" s="20" t="s">
        <v>17</v>
      </c>
      <c r="C18" s="20" t="s">
        <v>11</v>
      </c>
      <c r="D18" s="20">
        <v>32</v>
      </c>
      <c r="E18" s="21">
        <v>30449.307249599999</v>
      </c>
      <c r="F18" s="21">
        <v>29398.00409440554</v>
      </c>
    </row>
    <row r="19" spans="1:6">
      <c r="A19" s="22">
        <v>39406</v>
      </c>
      <c r="B19" s="20" t="s">
        <v>17</v>
      </c>
      <c r="C19" s="20" t="s">
        <v>11</v>
      </c>
      <c r="D19" s="20">
        <v>12</v>
      </c>
      <c r="E19" s="21">
        <v>12125.302507799999</v>
      </c>
      <c r="F19" s="21">
        <v>11641.50878367756</v>
      </c>
    </row>
    <row r="20" spans="1:6">
      <c r="A20" s="22">
        <v>39164</v>
      </c>
      <c r="B20" s="20" t="s">
        <v>24</v>
      </c>
      <c r="C20" s="20" t="s">
        <v>11</v>
      </c>
      <c r="D20" s="20">
        <v>20</v>
      </c>
      <c r="E20" s="21">
        <v>22920.955196999999</v>
      </c>
      <c r="F20" s="21">
        <v>22707.050330980284</v>
      </c>
    </row>
    <row r="21" spans="1:6">
      <c r="A21" s="22">
        <v>39349</v>
      </c>
      <c r="B21" s="20" t="s">
        <v>24</v>
      </c>
      <c r="C21" s="20" t="s">
        <v>12</v>
      </c>
      <c r="D21" s="20">
        <v>60</v>
      </c>
      <c r="E21" s="21">
        <v>17794.934082</v>
      </c>
      <c r="F21" s="21">
        <v>18667.471284403004</v>
      </c>
    </row>
    <row r="22" spans="1:6">
      <c r="A22" s="22">
        <v>39164</v>
      </c>
      <c r="B22" s="20" t="s">
        <v>17</v>
      </c>
      <c r="C22" s="20" t="s">
        <v>11</v>
      </c>
      <c r="D22" s="20">
        <v>24</v>
      </c>
      <c r="E22" s="21">
        <v>8325.0737135999989</v>
      </c>
      <c r="F22" s="21">
        <v>8601.7455508359071</v>
      </c>
    </row>
  </sheetData>
  <phoneticPr fontId="1" type="noConversion"/>
  <conditionalFormatting sqref="A2:F22">
    <cfRule type="expression" dxfId="5" priority="1">
      <formula>VLOOKUP($B2,$J:$K,2,0)&lt;=$D2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2"/>
  <sheetViews>
    <sheetView zoomScale="150" workbookViewId="0">
      <selection activeCell="F15" sqref="F15"/>
    </sheetView>
  </sheetViews>
  <sheetFormatPr baseColWidth="10" defaultColWidth="8.83203125" defaultRowHeight="15"/>
  <cols>
    <col min="1" max="1" width="11" bestFit="1" customWidth="1"/>
    <col min="2" max="3" width="10.5" bestFit="1" customWidth="1"/>
    <col min="11" max="11" width="10.33203125" bestFit="1" customWidth="1"/>
  </cols>
  <sheetData>
    <row r="1" spans="1:13">
      <c r="A1" s="27" t="s">
        <v>32</v>
      </c>
      <c r="B1" s="27" t="s">
        <v>33</v>
      </c>
      <c r="C1" s="27" t="s">
        <v>34</v>
      </c>
      <c r="I1" s="37" t="s">
        <v>41</v>
      </c>
      <c r="J1" s="37" t="s">
        <v>42</v>
      </c>
      <c r="K1" s="37" t="s">
        <v>45</v>
      </c>
    </row>
    <row r="2" spans="1:13">
      <c r="A2" s="23">
        <v>41456</v>
      </c>
      <c r="B2" s="7" t="s">
        <v>35</v>
      </c>
      <c r="C2" s="7" t="s">
        <v>36</v>
      </c>
      <c r="I2" s="24" t="s">
        <v>59</v>
      </c>
      <c r="J2" s="25" t="s">
        <v>60</v>
      </c>
      <c r="K2" s="26">
        <v>24638</v>
      </c>
    </row>
    <row r="3" spans="1:13">
      <c r="A3" s="23">
        <v>41457</v>
      </c>
      <c r="B3" s="7" t="s">
        <v>36</v>
      </c>
      <c r="C3" s="7" t="s">
        <v>37</v>
      </c>
      <c r="E3" s="7" t="s">
        <v>39</v>
      </c>
      <c r="I3" s="24" t="s">
        <v>61</v>
      </c>
      <c r="J3" s="25" t="s">
        <v>44</v>
      </c>
      <c r="K3" s="26">
        <v>27246</v>
      </c>
      <c r="M3" s="7" t="s">
        <v>57</v>
      </c>
    </row>
    <row r="4" spans="1:13">
      <c r="A4" s="23">
        <v>41458</v>
      </c>
      <c r="B4" s="7" t="s">
        <v>37</v>
      </c>
      <c r="C4" s="7" t="s">
        <v>38</v>
      </c>
      <c r="E4" s="7"/>
      <c r="I4" s="24" t="s">
        <v>62</v>
      </c>
      <c r="J4" s="25" t="s">
        <v>43</v>
      </c>
      <c r="K4" s="26">
        <v>33201</v>
      </c>
    </row>
    <row r="5" spans="1:13">
      <c r="A5" s="23">
        <v>41459</v>
      </c>
      <c r="B5" s="7" t="s">
        <v>38</v>
      </c>
      <c r="C5" s="7" t="s">
        <v>35</v>
      </c>
      <c r="E5" s="7" t="s">
        <v>40</v>
      </c>
      <c r="I5" s="24" t="s">
        <v>63</v>
      </c>
      <c r="J5" s="25" t="s">
        <v>43</v>
      </c>
      <c r="K5" s="26">
        <v>33144</v>
      </c>
    </row>
    <row r="6" spans="1:13">
      <c r="A6" s="23">
        <v>41460</v>
      </c>
      <c r="B6" s="7" t="s">
        <v>35</v>
      </c>
      <c r="C6" s="7" t="s">
        <v>36</v>
      </c>
      <c r="E6" s="7"/>
      <c r="I6" s="24" t="s">
        <v>64</v>
      </c>
      <c r="J6" s="25" t="s">
        <v>44</v>
      </c>
      <c r="K6" s="26">
        <v>29323</v>
      </c>
    </row>
    <row r="7" spans="1:13">
      <c r="A7" s="23">
        <v>41461</v>
      </c>
      <c r="B7" s="7" t="s">
        <v>36</v>
      </c>
      <c r="C7" s="7" t="s">
        <v>37</v>
      </c>
      <c r="I7" s="24" t="s">
        <v>65</v>
      </c>
      <c r="J7" s="25" t="s">
        <v>44</v>
      </c>
      <c r="K7" s="26">
        <v>29553</v>
      </c>
    </row>
    <row r="8" spans="1:13">
      <c r="A8" s="23">
        <v>41462</v>
      </c>
      <c r="B8" s="7" t="s">
        <v>37</v>
      </c>
      <c r="C8" s="7" t="s">
        <v>38</v>
      </c>
      <c r="I8" s="24" t="s">
        <v>66</v>
      </c>
      <c r="J8" s="25" t="s">
        <v>44</v>
      </c>
      <c r="K8" s="26">
        <v>31436</v>
      </c>
    </row>
    <row r="9" spans="1:13">
      <c r="A9" s="23">
        <v>41463</v>
      </c>
      <c r="B9" s="7" t="s">
        <v>38</v>
      </c>
      <c r="C9" s="7" t="s">
        <v>35</v>
      </c>
      <c r="I9" s="24" t="s">
        <v>67</v>
      </c>
      <c r="J9" s="25" t="s">
        <v>44</v>
      </c>
      <c r="K9" s="26">
        <v>25786</v>
      </c>
    </row>
    <row r="10" spans="1:13">
      <c r="A10" s="23">
        <v>41464</v>
      </c>
      <c r="B10" s="7" t="s">
        <v>35</v>
      </c>
      <c r="C10" s="7" t="s">
        <v>36</v>
      </c>
      <c r="I10" s="24" t="s">
        <v>68</v>
      </c>
      <c r="J10" s="25" t="s">
        <v>43</v>
      </c>
      <c r="K10" s="26">
        <v>28105</v>
      </c>
    </row>
    <row r="11" spans="1:13">
      <c r="A11" s="23">
        <v>41465</v>
      </c>
      <c r="B11" s="7" t="s">
        <v>36</v>
      </c>
      <c r="C11" s="7" t="s">
        <v>37</v>
      </c>
      <c r="I11" s="24" t="s">
        <v>69</v>
      </c>
      <c r="J11" s="25" t="s">
        <v>43</v>
      </c>
      <c r="K11" s="26">
        <v>25751</v>
      </c>
    </row>
    <row r="12" spans="1:13">
      <c r="A12" s="23">
        <v>41466</v>
      </c>
      <c r="B12" s="7" t="s">
        <v>37</v>
      </c>
      <c r="C12" s="7" t="s">
        <v>38</v>
      </c>
      <c r="I12" s="24" t="s">
        <v>70</v>
      </c>
      <c r="J12" s="25" t="s">
        <v>44</v>
      </c>
      <c r="K12" s="26">
        <v>25524</v>
      </c>
    </row>
    <row r="13" spans="1:13">
      <c r="A13" s="23">
        <v>41467</v>
      </c>
      <c r="B13" s="7" t="s">
        <v>38</v>
      </c>
      <c r="C13" s="7" t="s">
        <v>35</v>
      </c>
      <c r="I13" s="24" t="s">
        <v>71</v>
      </c>
      <c r="J13" s="25" t="s">
        <v>43</v>
      </c>
      <c r="K13" s="26">
        <v>29197</v>
      </c>
    </row>
    <row r="14" spans="1:13">
      <c r="A14" s="23">
        <v>41468</v>
      </c>
      <c r="B14" s="7" t="s">
        <v>35</v>
      </c>
      <c r="C14" s="7" t="s">
        <v>36</v>
      </c>
      <c r="I14" s="24" t="s">
        <v>72</v>
      </c>
      <c r="J14" s="25" t="s">
        <v>44</v>
      </c>
      <c r="K14" s="26">
        <v>33080</v>
      </c>
    </row>
    <row r="15" spans="1:13">
      <c r="A15" s="23">
        <v>41469</v>
      </c>
      <c r="B15" s="7" t="s">
        <v>36</v>
      </c>
      <c r="C15" s="7" t="s">
        <v>37</v>
      </c>
      <c r="I15" s="24" t="s">
        <v>73</v>
      </c>
      <c r="J15" s="25" t="s">
        <v>44</v>
      </c>
      <c r="K15" s="26">
        <v>33899</v>
      </c>
    </row>
    <row r="16" spans="1:13">
      <c r="A16" s="23">
        <v>41470</v>
      </c>
      <c r="B16" s="7" t="s">
        <v>37</v>
      </c>
      <c r="C16" s="7" t="s">
        <v>38</v>
      </c>
      <c r="I16" s="24" t="s">
        <v>74</v>
      </c>
      <c r="J16" s="25" t="s">
        <v>44</v>
      </c>
      <c r="K16" s="26">
        <v>28245</v>
      </c>
    </row>
    <row r="17" spans="1:11">
      <c r="A17" s="23">
        <v>41471</v>
      </c>
      <c r="B17" s="7" t="s">
        <v>38</v>
      </c>
      <c r="C17" s="7" t="s">
        <v>35</v>
      </c>
      <c r="I17" s="24" t="s">
        <v>75</v>
      </c>
      <c r="J17" s="25" t="s">
        <v>44</v>
      </c>
      <c r="K17" s="26">
        <v>32152</v>
      </c>
    </row>
    <row r="18" spans="1:11">
      <c r="A18" s="23">
        <v>41472</v>
      </c>
      <c r="B18" s="7" t="s">
        <v>35</v>
      </c>
      <c r="C18" s="7" t="s">
        <v>36</v>
      </c>
      <c r="I18" s="24" t="s">
        <v>76</v>
      </c>
      <c r="J18" s="25" t="s">
        <v>44</v>
      </c>
      <c r="K18" s="26">
        <v>31842</v>
      </c>
    </row>
    <row r="19" spans="1:11">
      <c r="A19" s="23">
        <v>41473</v>
      </c>
      <c r="B19" s="7" t="s">
        <v>36</v>
      </c>
      <c r="C19" s="7" t="s">
        <v>37</v>
      </c>
      <c r="I19" s="24" t="s">
        <v>77</v>
      </c>
      <c r="J19" s="25" t="s">
        <v>44</v>
      </c>
      <c r="K19" s="26">
        <v>30345</v>
      </c>
    </row>
    <row r="20" spans="1:11">
      <c r="A20" s="23">
        <v>41474</v>
      </c>
      <c r="B20" s="7" t="s">
        <v>37</v>
      </c>
      <c r="C20" s="7" t="s">
        <v>38</v>
      </c>
      <c r="I20" s="24" t="s">
        <v>78</v>
      </c>
      <c r="J20" s="25" t="s">
        <v>43</v>
      </c>
      <c r="K20" s="26">
        <v>32131</v>
      </c>
    </row>
    <row r="21" spans="1:11">
      <c r="A21" s="23">
        <v>41475</v>
      </c>
      <c r="B21" s="7" t="s">
        <v>38</v>
      </c>
      <c r="C21" s="7" t="s">
        <v>35</v>
      </c>
      <c r="I21" s="24" t="s">
        <v>79</v>
      </c>
      <c r="J21" s="25" t="s">
        <v>44</v>
      </c>
      <c r="K21" s="26">
        <v>26155</v>
      </c>
    </row>
    <row r="22" spans="1:11">
      <c r="A22" s="23">
        <v>41476</v>
      </c>
      <c r="B22" s="7" t="s">
        <v>35</v>
      </c>
      <c r="C22" s="7" t="s">
        <v>36</v>
      </c>
      <c r="I22" s="24" t="s">
        <v>80</v>
      </c>
      <c r="J22" s="25" t="s">
        <v>44</v>
      </c>
      <c r="K22" s="26">
        <v>34002</v>
      </c>
    </row>
    <row r="23" spans="1:11">
      <c r="A23" s="23">
        <v>41477</v>
      </c>
      <c r="B23" s="7" t="s">
        <v>36</v>
      </c>
      <c r="C23" s="7" t="s">
        <v>37</v>
      </c>
      <c r="I23" s="24" t="s">
        <v>81</v>
      </c>
      <c r="J23" s="25" t="s">
        <v>44</v>
      </c>
      <c r="K23" s="26">
        <v>24232</v>
      </c>
    </row>
    <row r="24" spans="1:11">
      <c r="A24" s="23">
        <v>41478</v>
      </c>
      <c r="B24" s="7" t="s">
        <v>37</v>
      </c>
      <c r="C24" s="7" t="s">
        <v>38</v>
      </c>
      <c r="I24" s="24" t="s">
        <v>82</v>
      </c>
      <c r="J24" s="25" t="s">
        <v>43</v>
      </c>
      <c r="K24" s="26">
        <v>25481</v>
      </c>
    </row>
    <row r="25" spans="1:11">
      <c r="A25" s="23">
        <v>41479</v>
      </c>
      <c r="B25" s="7" t="s">
        <v>38</v>
      </c>
      <c r="C25" s="7" t="s">
        <v>35</v>
      </c>
    </row>
    <row r="26" spans="1:11">
      <c r="A26" s="23">
        <v>41480</v>
      </c>
      <c r="B26" s="7" t="s">
        <v>35</v>
      </c>
      <c r="C26" s="7" t="s">
        <v>36</v>
      </c>
    </row>
    <row r="27" spans="1:11">
      <c r="A27" s="23">
        <v>41481</v>
      </c>
      <c r="B27" s="7" t="s">
        <v>36</v>
      </c>
      <c r="C27" s="7" t="s">
        <v>37</v>
      </c>
    </row>
    <row r="28" spans="1:11">
      <c r="A28" s="23">
        <v>41482</v>
      </c>
      <c r="B28" s="7" t="s">
        <v>37</v>
      </c>
      <c r="C28" s="7" t="s">
        <v>38</v>
      </c>
    </row>
    <row r="29" spans="1:11">
      <c r="A29" s="23">
        <v>41483</v>
      </c>
      <c r="B29" s="7" t="s">
        <v>38</v>
      </c>
      <c r="C29" s="7" t="s">
        <v>35</v>
      </c>
    </row>
    <row r="30" spans="1:11">
      <c r="A30" s="23">
        <v>41484</v>
      </c>
      <c r="B30" s="7" t="s">
        <v>35</v>
      </c>
      <c r="C30" s="7" t="s">
        <v>36</v>
      </c>
    </row>
    <row r="31" spans="1:11">
      <c r="A31" s="23">
        <v>41485</v>
      </c>
      <c r="B31" s="7" t="s">
        <v>36</v>
      </c>
      <c r="C31" s="7" t="s">
        <v>37</v>
      </c>
    </row>
    <row r="32" spans="1:11">
      <c r="A32" s="23">
        <v>41486</v>
      </c>
      <c r="B32" s="7" t="s">
        <v>37</v>
      </c>
      <c r="C32" s="7" t="s">
        <v>38</v>
      </c>
    </row>
  </sheetData>
  <phoneticPr fontId="1" type="noConversion"/>
  <conditionalFormatting sqref="A2:C32">
    <cfRule type="expression" dxfId="4" priority="3">
      <formula>WEEKDAY($A2,2)&gt;5</formula>
    </cfRule>
  </conditionalFormatting>
  <conditionalFormatting sqref="I2:I24">
    <cfRule type="expression" dxfId="3" priority="1" stopIfTrue="1">
      <formula>AND(DATE(YEAR(TODAY()),MONTH($K2),DAY($K2))-TODAY()&lt;15,DATE(YEAR(TODAY()),MONTH($K2),DAY($K2))-TODAY()&gt;0)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1F62-FF6C-3E41-A3E2-B2B0AF3770C9}">
  <dimension ref="A1:AE9"/>
  <sheetViews>
    <sheetView tabSelected="1" zoomScale="150" zoomScaleNormal="150" workbookViewId="0">
      <selection activeCell="AF9" sqref="AF9"/>
    </sheetView>
  </sheetViews>
  <sheetFormatPr baseColWidth="10" defaultColWidth="9" defaultRowHeight="15"/>
  <cols>
    <col min="1" max="1" width="8" style="39" bestFit="1" customWidth="1"/>
    <col min="2" max="2" width="9.5" style="39" bestFit="1" customWidth="1"/>
    <col min="3" max="3" width="9" style="39"/>
    <col min="4" max="31" width="2.83203125" style="39" customWidth="1"/>
    <col min="32" max="16384" width="9" style="39"/>
  </cols>
  <sheetData>
    <row r="1" spans="1:31">
      <c r="A1" s="52"/>
      <c r="B1" s="43" t="s">
        <v>96</v>
      </c>
      <c r="C1" s="43" t="s">
        <v>95</v>
      </c>
      <c r="D1" s="51">
        <v>44593</v>
      </c>
      <c r="E1" s="51">
        <v>44594</v>
      </c>
      <c r="F1" s="51">
        <v>44595</v>
      </c>
      <c r="G1" s="51">
        <v>44596</v>
      </c>
      <c r="H1" s="51">
        <v>44597</v>
      </c>
      <c r="I1" s="51">
        <v>44598</v>
      </c>
      <c r="J1" s="51">
        <v>44599</v>
      </c>
      <c r="K1" s="51">
        <v>44600</v>
      </c>
      <c r="L1" s="51">
        <v>44601</v>
      </c>
      <c r="M1" s="51">
        <v>44602</v>
      </c>
      <c r="N1" s="51">
        <v>44603</v>
      </c>
      <c r="O1" s="51">
        <v>44604</v>
      </c>
      <c r="P1" s="51">
        <v>44605</v>
      </c>
      <c r="Q1" s="51">
        <v>44606</v>
      </c>
      <c r="R1" s="51">
        <v>44607</v>
      </c>
      <c r="S1" s="51">
        <v>44608</v>
      </c>
      <c r="T1" s="51">
        <v>44609</v>
      </c>
      <c r="U1" s="51">
        <v>44610</v>
      </c>
      <c r="V1" s="51">
        <v>44611</v>
      </c>
      <c r="W1" s="51">
        <v>44612</v>
      </c>
      <c r="X1" s="51">
        <v>44613</v>
      </c>
      <c r="Y1" s="51">
        <v>44614</v>
      </c>
      <c r="Z1" s="51">
        <v>44615</v>
      </c>
      <c r="AA1" s="51">
        <v>44616</v>
      </c>
      <c r="AB1" s="51">
        <v>44617</v>
      </c>
      <c r="AC1" s="51">
        <v>44618</v>
      </c>
      <c r="AD1" s="51">
        <v>44619</v>
      </c>
      <c r="AE1" s="51">
        <v>44620</v>
      </c>
    </row>
    <row r="2" spans="1:31">
      <c r="A2" s="43" t="s">
        <v>94</v>
      </c>
      <c r="B2" s="44">
        <v>44593</v>
      </c>
      <c r="C2" s="43">
        <v>5</v>
      </c>
      <c r="D2" s="50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8"/>
    </row>
    <row r="3" spans="1:31">
      <c r="A3" s="43" t="s">
        <v>93</v>
      </c>
      <c r="B3" s="44">
        <v>44596</v>
      </c>
      <c r="C3" s="43">
        <v>3</v>
      </c>
      <c r="D3" s="47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5"/>
    </row>
    <row r="4" spans="1:31">
      <c r="A4" s="43" t="s">
        <v>92</v>
      </c>
      <c r="B4" s="44">
        <v>44598</v>
      </c>
      <c r="C4" s="43">
        <v>3</v>
      </c>
      <c r="D4" s="47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5"/>
    </row>
    <row r="5" spans="1:31">
      <c r="A5" s="43" t="s">
        <v>91</v>
      </c>
      <c r="B5" s="44">
        <v>44600</v>
      </c>
      <c r="C5" s="43">
        <v>1</v>
      </c>
      <c r="D5" s="47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5"/>
    </row>
    <row r="6" spans="1:31">
      <c r="A6" s="43" t="s">
        <v>90</v>
      </c>
      <c r="B6" s="44">
        <v>44601</v>
      </c>
      <c r="C6" s="43">
        <v>10</v>
      </c>
      <c r="D6" s="47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5"/>
    </row>
    <row r="7" spans="1:31">
      <c r="A7" s="43" t="s">
        <v>89</v>
      </c>
      <c r="B7" s="44">
        <v>44611</v>
      </c>
      <c r="C7" s="43">
        <v>5</v>
      </c>
      <c r="D7" s="47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5"/>
    </row>
    <row r="8" spans="1:31">
      <c r="A8" s="43" t="s">
        <v>88</v>
      </c>
      <c r="B8" s="44">
        <v>44615</v>
      </c>
      <c r="C8" s="43">
        <v>3</v>
      </c>
      <c r="D8" s="47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5"/>
    </row>
    <row r="9" spans="1:31">
      <c r="A9" s="43" t="s">
        <v>87</v>
      </c>
      <c r="B9" s="44">
        <v>44618</v>
      </c>
      <c r="C9" s="43">
        <v>3</v>
      </c>
      <c r="D9" s="42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0"/>
    </row>
  </sheetData>
  <phoneticPr fontId="1" type="noConversion"/>
  <conditionalFormatting sqref="D2:AE9">
    <cfRule type="expression" dxfId="2" priority="1">
      <formula>AND(D$1&gt;=$B2,D$1&lt;$B2+$C2)</formula>
    </cfRule>
  </conditionalFormatting>
  <pageMargins left="0.69930555555555596" right="0.69930555555555596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测试数据</vt:lpstr>
      <vt:lpstr>数据1</vt:lpstr>
      <vt:lpstr>数据2</vt:lpstr>
      <vt:lpstr>条件公式</vt:lpstr>
      <vt:lpstr>条件甘特图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a30517</cp:lastModifiedBy>
  <cp:lastPrinted>2009-11-19T09:11:05Z</cp:lastPrinted>
  <dcterms:created xsi:type="dcterms:W3CDTF">1996-12-17T01:32:42Z</dcterms:created>
  <dcterms:modified xsi:type="dcterms:W3CDTF">2026-08-09T16:04:54Z</dcterms:modified>
</cp:coreProperties>
</file>