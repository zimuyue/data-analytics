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228A2DB6-746C-0044-9AF7-48AFFFD78773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EXCEL课件" sheetId="1" r:id="rId1"/>
    <sheet name="排序" sheetId="22" r:id="rId2"/>
    <sheet name="工资条" sheetId="18" r:id="rId3"/>
    <sheet name="筛选" sheetId="23" r:id="rId4"/>
    <sheet name="高级筛选" sheetId="25" r:id="rId5"/>
    <sheet name="subtotal" sheetId="26" r:id="rId6"/>
    <sheet name="连续编号" sheetId="27" r:id="rId7"/>
  </sheets>
  <definedNames>
    <definedName name="_xlnm._FilterDatabase" localSheetId="0" hidden="1">EXCEL课件!#REF!</definedName>
    <definedName name="_xlnm._FilterDatabase" localSheetId="4" hidden="1">高级筛选!$A$1:$G$19</definedName>
    <definedName name="_xlnm._FilterDatabase" localSheetId="6" hidden="1">连续编号!$B$1:$K$19</definedName>
    <definedName name="_xlnm._FilterDatabase" localSheetId="1" hidden="1">排序!$A$1:$G$16</definedName>
    <definedName name="_xlnm._FilterDatabase" localSheetId="3" hidden="1">筛选!$A$1:$F$286</definedName>
    <definedName name="_xlnm.Criteria" localSheetId="4">高级筛选!$J$4:$J$5</definedName>
    <definedName name="_xlnm.Criteria" localSheetId="3">筛选!$I$16:$J$17</definedName>
    <definedName name="切片器_所属区域">#N/A</definedName>
    <definedName name="_xlnm.Extract" localSheetId="4">高级筛选!#REF!</definedName>
    <definedName name="_xlnm.Extract" localSheetId="3">筛选!$O$5:$T$5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7" l="1"/>
  <c r="A3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F3" i="26"/>
  <c r="F5" i="26" s="1"/>
  <c r="J5" i="25"/>
</calcChain>
</file>

<file path=xl/sharedStrings.xml><?xml version="1.0" encoding="utf-8"?>
<sst xmlns="http://schemas.openxmlformats.org/spreadsheetml/2006/main" count="1167" uniqueCount="302">
  <si>
    <t>一、</t>
    <phoneticPr fontId="1" type="noConversion"/>
  </si>
  <si>
    <t>二、</t>
    <phoneticPr fontId="1" type="noConversion"/>
  </si>
  <si>
    <t>ERPCO号</t>
    <phoneticPr fontId="6" type="noConversion"/>
  </si>
  <si>
    <t>所属区域</t>
    <phoneticPr fontId="6" type="noConversion"/>
  </si>
  <si>
    <t>数量</t>
  </si>
  <si>
    <t>金额</t>
    <phoneticPr fontId="6" type="noConversion"/>
  </si>
  <si>
    <t>成本</t>
    <phoneticPr fontId="6" type="noConversion"/>
  </si>
  <si>
    <t>订购日期</t>
    <phoneticPr fontId="6" type="noConversion"/>
  </si>
  <si>
    <t>C014673-004</t>
  </si>
  <si>
    <t>苏州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</si>
  <si>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</si>
  <si>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</si>
  <si>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</si>
  <si>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</si>
  <si>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</si>
  <si>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</si>
  <si>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</si>
  <si>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</si>
  <si>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</si>
  <si>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</si>
  <si>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</si>
  <si>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</si>
  <si>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</si>
  <si>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</si>
  <si>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</si>
  <si>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</si>
  <si>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</si>
  <si>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</si>
  <si>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排序</t>
    <phoneticPr fontId="1" type="noConversion"/>
  </si>
  <si>
    <t>筛选</t>
    <phoneticPr fontId="1" type="noConversion"/>
  </si>
  <si>
    <t>1、简单排序</t>
    <phoneticPr fontId="1" type="noConversion"/>
  </si>
  <si>
    <t>2、多条件排序</t>
    <phoneticPr fontId="1" type="noConversion"/>
  </si>
  <si>
    <t>2、在筛选中使用多个条件</t>
    <phoneticPr fontId="1" type="noConversion"/>
  </si>
  <si>
    <t>3、高级筛选</t>
    <phoneticPr fontId="1" type="noConversion"/>
  </si>
  <si>
    <t>数学</t>
    <phoneticPr fontId="6" type="noConversion"/>
  </si>
  <si>
    <t>语文</t>
    <phoneticPr fontId="6" type="noConversion"/>
  </si>
  <si>
    <t>英语</t>
    <phoneticPr fontId="6" type="noConversion"/>
  </si>
  <si>
    <t>化学</t>
    <phoneticPr fontId="6" type="noConversion"/>
  </si>
  <si>
    <t>体育</t>
    <phoneticPr fontId="6" type="noConversion"/>
  </si>
  <si>
    <t>生物</t>
    <phoneticPr fontId="6" type="noConversion"/>
  </si>
  <si>
    <t>李明</t>
    <phoneticPr fontId="6" type="noConversion"/>
  </si>
  <si>
    <t>王小二</t>
    <phoneticPr fontId="6" type="noConversion"/>
  </si>
  <si>
    <t>郑准</t>
    <phoneticPr fontId="6" type="noConversion"/>
  </si>
  <si>
    <t>张大民</t>
    <phoneticPr fontId="6" type="noConversion"/>
  </si>
  <si>
    <t>李节</t>
    <phoneticPr fontId="6" type="noConversion"/>
  </si>
  <si>
    <t>阮大</t>
    <phoneticPr fontId="6" type="noConversion"/>
  </si>
  <si>
    <t>孔庙</t>
    <phoneticPr fontId="6" type="noConversion"/>
  </si>
  <si>
    <t>张三</t>
    <phoneticPr fontId="6" type="noConversion"/>
  </si>
  <si>
    <t>吴柳</t>
    <phoneticPr fontId="6" type="noConversion"/>
  </si>
  <si>
    <t>田七</t>
    <phoneticPr fontId="6" type="noConversion"/>
  </si>
  <si>
    <t>刘戡</t>
    <phoneticPr fontId="6" type="noConversion"/>
  </si>
  <si>
    <t>蔡延</t>
    <phoneticPr fontId="6" type="noConversion"/>
  </si>
  <si>
    <t>周阚</t>
    <phoneticPr fontId="6" type="noConversion"/>
  </si>
  <si>
    <t>王启</t>
    <phoneticPr fontId="6" type="noConversion"/>
  </si>
  <si>
    <t>销售部门</t>
    <phoneticPr fontId="6" type="noConversion"/>
  </si>
  <si>
    <t>四部</t>
    <phoneticPr fontId="6" type="noConversion"/>
  </si>
  <si>
    <t>二部</t>
    <phoneticPr fontId="6" type="noConversion"/>
  </si>
  <si>
    <t>二部</t>
    <phoneticPr fontId="6" type="noConversion"/>
  </si>
  <si>
    <t>一部</t>
    <phoneticPr fontId="6" type="noConversion"/>
  </si>
  <si>
    <t>三部</t>
    <phoneticPr fontId="6" type="noConversion"/>
  </si>
  <si>
    <t>一部</t>
    <phoneticPr fontId="6" type="noConversion"/>
  </si>
  <si>
    <t>四部</t>
    <phoneticPr fontId="6" type="noConversion"/>
  </si>
  <si>
    <t>五部</t>
    <phoneticPr fontId="6" type="noConversion"/>
  </si>
  <si>
    <t>一部</t>
    <phoneticPr fontId="6" type="noConversion"/>
  </si>
  <si>
    <t>二部</t>
    <phoneticPr fontId="6" type="noConversion"/>
  </si>
  <si>
    <t>五部</t>
    <phoneticPr fontId="6" type="noConversion"/>
  </si>
  <si>
    <t>四部</t>
    <phoneticPr fontId="6" type="noConversion"/>
  </si>
  <si>
    <t>二部</t>
    <phoneticPr fontId="6" type="noConversion"/>
  </si>
  <si>
    <t>五部</t>
    <phoneticPr fontId="6" type="noConversion"/>
  </si>
  <si>
    <t>五部</t>
    <phoneticPr fontId="6" type="noConversion"/>
  </si>
  <si>
    <t>三部</t>
    <phoneticPr fontId="6" type="noConversion"/>
  </si>
  <si>
    <t>姓名</t>
    <phoneticPr fontId="6" type="noConversion"/>
  </si>
  <si>
    <t>工号</t>
    <phoneticPr fontId="6" type="noConversion"/>
  </si>
  <si>
    <t>汪梅</t>
  </si>
  <si>
    <t>郭磊</t>
  </si>
  <si>
    <t>林涛</t>
  </si>
  <si>
    <t>朱健</t>
  </si>
  <si>
    <t>李明</t>
  </si>
  <si>
    <t>王建国</t>
  </si>
  <si>
    <t>陈玉</t>
  </si>
  <si>
    <t>张华</t>
  </si>
  <si>
    <t>李丽</t>
  </si>
  <si>
    <t>汪成</t>
  </si>
  <si>
    <t>李军</t>
  </si>
  <si>
    <t>月基本薪资</t>
    <phoneticPr fontId="6" type="noConversion"/>
  </si>
  <si>
    <t>加其它</t>
    <phoneticPr fontId="6" type="noConversion"/>
  </si>
  <si>
    <t>应付工资</t>
    <phoneticPr fontId="6" type="noConversion"/>
  </si>
  <si>
    <t xml:space="preserve">事假扣款 </t>
    <phoneticPr fontId="6" type="noConversion"/>
  </si>
  <si>
    <t>缺勤扣款</t>
    <phoneticPr fontId="6" type="noConversion"/>
  </si>
  <si>
    <t>应发工资小计</t>
    <phoneticPr fontId="6" type="noConversion"/>
  </si>
  <si>
    <t>个人承担的公积金</t>
    <phoneticPr fontId="6" type="noConversion"/>
  </si>
  <si>
    <t>所得税</t>
    <phoneticPr fontId="6" type="noConversion"/>
  </si>
  <si>
    <t>实发数</t>
    <phoneticPr fontId="6" type="noConversion"/>
  </si>
  <si>
    <t>SU1002</t>
  </si>
  <si>
    <t>SU1003</t>
  </si>
  <si>
    <t>SU1004</t>
  </si>
  <si>
    <t>SU1005</t>
  </si>
  <si>
    <t>SU1006</t>
  </si>
  <si>
    <t>SU1007</t>
  </si>
  <si>
    <t>SU1008</t>
  </si>
  <si>
    <t>SU1009</t>
  </si>
  <si>
    <t>SU1010</t>
  </si>
  <si>
    <t>SU1011</t>
  </si>
  <si>
    <t>SU1001</t>
    <phoneticPr fontId="6" type="noConversion"/>
  </si>
  <si>
    <t>月</t>
  </si>
  <si>
    <t>日</t>
  </si>
  <si>
    <t>凭证号数</t>
  </si>
  <si>
    <t>部门</t>
    <phoneticPr fontId="6" type="noConversion"/>
  </si>
  <si>
    <t>科目划分</t>
  </si>
  <si>
    <t>发生额</t>
    <phoneticPr fontId="6" type="noConversion"/>
  </si>
  <si>
    <t>记-0023</t>
  </si>
  <si>
    <t>一车间</t>
    <phoneticPr fontId="6" type="noConversion"/>
  </si>
  <si>
    <t>邮寄费</t>
  </si>
  <si>
    <t>记-0021</t>
  </si>
  <si>
    <t>出租车费</t>
  </si>
  <si>
    <t>记-0031</t>
  </si>
  <si>
    <t>二车间</t>
    <phoneticPr fontId="6" type="noConversion"/>
  </si>
  <si>
    <t>记-0022</t>
  </si>
  <si>
    <t>过桥过路费</t>
  </si>
  <si>
    <t>运费附加</t>
  </si>
  <si>
    <t>记-0008</t>
  </si>
  <si>
    <t>财务部</t>
    <phoneticPr fontId="6" type="noConversion"/>
  </si>
  <si>
    <t>独子费</t>
  </si>
  <si>
    <t>销售1部</t>
    <phoneticPr fontId="6" type="noConversion"/>
  </si>
  <si>
    <t>出差费</t>
  </si>
  <si>
    <t>经理室</t>
    <phoneticPr fontId="6" type="noConversion"/>
  </si>
  <si>
    <t>手机电话费</t>
  </si>
  <si>
    <t>记-0026</t>
  </si>
  <si>
    <t>话费补</t>
  </si>
  <si>
    <t>人力资源部</t>
    <phoneticPr fontId="6" type="noConversion"/>
  </si>
  <si>
    <t>资料费</t>
  </si>
  <si>
    <t>记-0037</t>
  </si>
  <si>
    <t>办公用品</t>
  </si>
  <si>
    <t>养老保险</t>
  </si>
  <si>
    <t>记-0027</t>
  </si>
  <si>
    <t>招待费</t>
  </si>
  <si>
    <t>交通工具消耗</t>
  </si>
  <si>
    <t>采暖费补助</t>
  </si>
  <si>
    <t>教育经费</t>
  </si>
  <si>
    <t>失业保险</t>
  </si>
  <si>
    <t>记-0024</t>
  </si>
  <si>
    <t>修理费</t>
  </si>
  <si>
    <t>销售2部</t>
    <phoneticPr fontId="6" type="noConversion"/>
  </si>
  <si>
    <t>记-0025</t>
  </si>
  <si>
    <t>工会经费</t>
  </si>
  <si>
    <t>记-0030</t>
  </si>
  <si>
    <t>记-0006</t>
  </si>
  <si>
    <t>误餐费</t>
  </si>
  <si>
    <t>记-0032</t>
  </si>
  <si>
    <t>公积金</t>
  </si>
  <si>
    <t>记-0020</t>
  </si>
  <si>
    <t>抵税运费</t>
  </si>
  <si>
    <t>记-0003</t>
  </si>
  <si>
    <t>记-0011</t>
  </si>
  <si>
    <t>记-0005</t>
  </si>
  <si>
    <t>记-0002</t>
  </si>
  <si>
    <t>记-0009</t>
  </si>
  <si>
    <t>其他</t>
  </si>
  <si>
    <t>记-0004</t>
  </si>
  <si>
    <t>记-0029</t>
  </si>
  <si>
    <t>交通工具修理</t>
  </si>
  <si>
    <t>记-0028</t>
  </si>
  <si>
    <t>记-0016</t>
  </si>
  <si>
    <t>记-0019</t>
  </si>
  <si>
    <t>劳保用品</t>
  </si>
  <si>
    <t>记-0018</t>
  </si>
  <si>
    <t>记-0017</t>
  </si>
  <si>
    <t>记-0013</t>
  </si>
  <si>
    <t>记-0043</t>
  </si>
  <si>
    <t>记-0042</t>
  </si>
  <si>
    <t>记-0058</t>
  </si>
  <si>
    <t>记-0038</t>
  </si>
  <si>
    <t>记-0045</t>
  </si>
  <si>
    <t>记-0039</t>
  </si>
  <si>
    <t>记-0040</t>
  </si>
  <si>
    <t>记-0050</t>
  </si>
  <si>
    <t>记-0014</t>
  </si>
  <si>
    <t>记-0041</t>
  </si>
  <si>
    <t>运输费</t>
  </si>
  <si>
    <t>记-0057</t>
  </si>
  <si>
    <t>记-0056</t>
  </si>
  <si>
    <t>记-0047</t>
  </si>
  <si>
    <t>记-0044</t>
  </si>
  <si>
    <t>记-0010</t>
  </si>
  <si>
    <t>记-0007</t>
  </si>
  <si>
    <t>记-0046</t>
  </si>
  <si>
    <t>记-0055</t>
  </si>
  <si>
    <t>设备使用费</t>
  </si>
  <si>
    <t>销售业务费</t>
  </si>
  <si>
    <t>记-0035</t>
  </si>
  <si>
    <t>技改办</t>
    <phoneticPr fontId="6" type="noConversion"/>
  </si>
  <si>
    <t>技术开发费</t>
  </si>
  <si>
    <t>记-0054</t>
  </si>
  <si>
    <t>低值易耗品摊销</t>
  </si>
  <si>
    <t>记-0012</t>
  </si>
  <si>
    <t>固定电话费</t>
  </si>
  <si>
    <t>记-0051</t>
  </si>
  <si>
    <t>计算机耗材</t>
  </si>
  <si>
    <t>记-0048</t>
  </si>
  <si>
    <t>记-0066</t>
  </si>
  <si>
    <t>记-0072</t>
  </si>
  <si>
    <t>记-0015</t>
  </si>
  <si>
    <t>记-0052</t>
  </si>
  <si>
    <t>记-0070</t>
  </si>
  <si>
    <t>记-0071</t>
  </si>
  <si>
    <t>记-0061</t>
  </si>
  <si>
    <t>2 筛选发生额大于500的数据</t>
    <phoneticPr fontId="6" type="noConversion"/>
  </si>
  <si>
    <t>3 筛选一车间的邮寄费</t>
    <phoneticPr fontId="6" type="noConversion"/>
  </si>
  <si>
    <t>4 筛选所有车间的数据</t>
    <phoneticPr fontId="6" type="noConversion"/>
  </si>
  <si>
    <t>a、筛选不重复值</t>
    <phoneticPr fontId="1" type="noConversion"/>
  </si>
  <si>
    <t>b、在高级筛选中使用常量条件区域</t>
    <phoneticPr fontId="1" type="noConversion"/>
  </si>
  <si>
    <t>1 筛选一车间的数据</t>
    <phoneticPr fontId="6" type="noConversion"/>
  </si>
  <si>
    <t>筛选出成本大于金额的数据</t>
    <phoneticPr fontId="6" type="noConversion"/>
  </si>
  <si>
    <t>开始-排序和筛选-自定义排序-多条件排序</t>
    <phoneticPr fontId="1" type="noConversion"/>
  </si>
  <si>
    <t>倒着来-先从后面列开始-依次向前选择排序</t>
    <phoneticPr fontId="1" type="noConversion"/>
  </si>
  <si>
    <t>开始-排序和筛选-自定义排序-排序依据-按照单元格颜色排序-选择颜色</t>
    <phoneticPr fontId="1" type="noConversion"/>
  </si>
  <si>
    <t>开始-排序和筛选-自定义排序-顺序-自定义序列-添加自定义序列</t>
    <phoneticPr fontId="1" type="noConversion"/>
  </si>
  <si>
    <t>排序和筛选-筛选后-查找和选择-定位条件-可见单元格-复制</t>
    <phoneticPr fontId="1" type="noConversion"/>
  </si>
  <si>
    <t>选择一列中某一个单元格-开始-排序和筛选-升序或降序</t>
    <phoneticPr fontId="1" type="noConversion"/>
  </si>
  <si>
    <t>先复制表头行-按照有多少条数据复制多少行-在最后一列中添加数字序列-排序</t>
    <phoneticPr fontId="1" type="noConversion"/>
  </si>
  <si>
    <t>5 筛选出财务部或发生额大于3000的数据</t>
    <phoneticPr fontId="6" type="noConversion"/>
  </si>
  <si>
    <t>6 筛选出一车间或大于3000的二车间或发生额大于10000的数据</t>
    <phoneticPr fontId="6" type="noConversion"/>
  </si>
  <si>
    <t>1.避免筛选后复制到隐藏的单元格</t>
    <phoneticPr fontId="1" type="noConversion"/>
  </si>
  <si>
    <t>&gt;3000</t>
    <phoneticPr fontId="6" type="noConversion"/>
  </si>
  <si>
    <t>根据表头单元格设置筛选条件-数据-高级筛选-选择条件区域</t>
    <phoneticPr fontId="1" type="noConversion"/>
  </si>
  <si>
    <t>做条件区域且关系同行多条件 或关系同行不同列留有空白单元格</t>
    <phoneticPr fontId="1" type="noConversion"/>
  </si>
  <si>
    <t>公式筛选-表头可以不填内容或填错字 但是不能填与表头相同的值 选择条件区域时需要包含表头</t>
    <phoneticPr fontId="1" type="noConversion"/>
  </si>
  <si>
    <t>3、按颜色排序</t>
    <phoneticPr fontId="1" type="noConversion"/>
  </si>
  <si>
    <t>4、自定义排序次序</t>
    <phoneticPr fontId="1" type="noConversion"/>
  </si>
  <si>
    <t>5、利用排序插入行</t>
    <phoneticPr fontId="1" type="noConversion"/>
  </si>
  <si>
    <t>单独做条件区域筛选</t>
    <phoneticPr fontId="1" type="noConversion"/>
  </si>
  <si>
    <t>c、在高级筛选中使用函数公式条件区域</t>
    <phoneticPr fontId="1" type="noConversion"/>
  </si>
  <si>
    <t>薯条</t>
  </si>
  <si>
    <t>南京</t>
  </si>
  <si>
    <t>酱油</t>
  </si>
  <si>
    <t>可乐</t>
  </si>
  <si>
    <t>蟹</t>
  </si>
  <si>
    <t>番茄酱</t>
  </si>
  <si>
    <t>牛奶</t>
  </si>
  <si>
    <t>无锡</t>
  </si>
  <si>
    <t>昆山</t>
  </si>
  <si>
    <t>成本</t>
  </si>
  <si>
    <t>金额</t>
  </si>
  <si>
    <t>销售数量</t>
    <phoneticPr fontId="21" type="noConversion"/>
  </si>
  <si>
    <t>产品类别</t>
  </si>
  <si>
    <t>所属区域</t>
  </si>
  <si>
    <t>地区销售额占比</t>
    <phoneticPr fontId="21" type="noConversion"/>
  </si>
  <si>
    <t>地区总销售额</t>
    <phoneticPr fontId="21" type="noConversion"/>
  </si>
  <si>
    <t>商品销售数据对比</t>
    <phoneticPr fontId="21" type="noConversion"/>
  </si>
  <si>
    <t>销售一部</t>
  </si>
  <si>
    <t>孙林</t>
  </si>
  <si>
    <t>VINET</t>
  </si>
  <si>
    <t>麻油</t>
  </si>
  <si>
    <t>销售二部</t>
  </si>
  <si>
    <t>李芳</t>
  </si>
  <si>
    <t>QUICK</t>
  </si>
  <si>
    <t>海鲜粉</t>
  </si>
  <si>
    <t>RATTC</t>
  </si>
  <si>
    <t>SPLIR</t>
  </si>
  <si>
    <t>鸡</t>
  </si>
  <si>
    <t>张颖</t>
  </si>
  <si>
    <t>WARTH</t>
  </si>
  <si>
    <t>赵军</t>
  </si>
  <si>
    <t>WHITC</t>
  </si>
  <si>
    <t>销售三部</t>
  </si>
  <si>
    <t>刘英玫</t>
  </si>
  <si>
    <t>GROSR</t>
  </si>
  <si>
    <t>郑建杰</t>
  </si>
  <si>
    <t>FRANK</t>
  </si>
  <si>
    <t>王伟</t>
  </si>
  <si>
    <t>BLONP</t>
  </si>
  <si>
    <t>FOLKO</t>
  </si>
  <si>
    <t>张雪眉</t>
  </si>
  <si>
    <t>RICSU</t>
  </si>
  <si>
    <t>CHOPS</t>
  </si>
  <si>
    <t>HANAR</t>
  </si>
  <si>
    <t>SUPRD</t>
  </si>
  <si>
    <t>VICTE</t>
  </si>
  <si>
    <t>部门</t>
  </si>
  <si>
    <t>雇员</t>
  </si>
  <si>
    <t>雇员ID</t>
  </si>
  <si>
    <t>客户ID</t>
  </si>
  <si>
    <t>总价</t>
  </si>
  <si>
    <t>折扣</t>
  </si>
  <si>
    <t>单价</t>
  </si>
  <si>
    <t>产品</t>
  </si>
  <si>
    <t>订单ID</t>
  </si>
  <si>
    <t>序号</t>
  </si>
  <si>
    <t>SUBTOTAL</t>
    <phoneticPr fontId="1" type="noConversion"/>
  </si>
  <si>
    <t>分类汇总计算函数忽略筛选项</t>
  </si>
  <si>
    <t>参数1:</t>
    <phoneticPr fontId="1" type="noConversion"/>
  </si>
  <si>
    <t>指定函数1-11常量包含隐藏数据 101-111不包含隐藏数据</t>
    <phoneticPr fontId="1" type="noConversion"/>
  </si>
  <si>
    <t>参数2：</t>
    <phoneticPr fontId="1" type="noConversion"/>
  </si>
  <si>
    <t>指定引用的变化列或行区域</t>
    <phoneticPr fontId="1" type="noConversion"/>
  </si>
  <si>
    <t>筛选后不连续区域中拖拽生成连续编号</t>
    <phoneticPr fontId="1" type="noConversion"/>
  </si>
  <si>
    <t>SUBTOTAL+COUNTA</t>
    <phoneticPr fontId="1" type="noConversion"/>
  </si>
  <si>
    <t>启用后生成连续编号会导致筛选分类时总是保留最后一条数据</t>
    <phoneticPr fontId="1" type="noConversion"/>
  </si>
  <si>
    <t>因为SUBTOTAL是分类汇总的特性 解决方法对序号列不指定筛选</t>
    <phoneticPr fontId="1" type="noConversion"/>
  </si>
  <si>
    <t>三、</t>
    <phoneticPr fontId="1" type="noConversion"/>
  </si>
  <si>
    <t>动态筛选更新数据</t>
    <phoneticPr fontId="1" type="noConversion"/>
  </si>
  <si>
    <t>1、连续编号</t>
    <phoneticPr fontId="1" type="noConversion"/>
  </si>
  <si>
    <t>筛选快捷键CTRL+SHIFT+L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</si>
</sst>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_ "/>
    <numFmt numFmtId="177" formatCode="#,##0_ "/>
    <numFmt numFmtId="178" formatCode="[$-F800]dddd\,\ mmmm\ dd\,\ yyyy"/>
    <numFmt numFmtId="179" formatCode="0.0_ "/>
    <numFmt numFmtId="180" formatCode="0_ "/>
  </numFmts>
  <fonts count="27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b/>
      <sz val="9"/>
      <name val="宋体"/>
      <family val="3"/>
      <charset val="134"/>
    </font>
    <font>
      <sz val="10"/>
      <name val="Microsoft YaHei"/>
      <family val="2"/>
      <charset val="134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Microsoft YaHei"/>
      <family val="2"/>
      <charset val="134"/>
    </font>
    <font>
      <b/>
      <sz val="9"/>
      <color theme="0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1"/>
      <color theme="1"/>
      <name val="宋体"/>
      <family val="4"/>
      <charset val="134"/>
      <scheme val="minor"/>
    </font>
    <font>
      <sz val="11"/>
      <name val="宋体"/>
      <family val="4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8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  <font>
      <u/>
      <sz val="10"/>
      <color indexed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  <xf numFmtId="0" fontId="13" fillId="0" borderId="0">
      <alignment vertical="center"/>
    </xf>
    <xf numFmtId="0" fontId="18" fillId="0" borderId="0"/>
    <xf numFmtId="0" fontId="7" fillId="0" borderId="0"/>
  </cellStyleXfs>
  <cellXfs count="52">
    <xf numFmtId="0" fontId="0" fillId="0" borderId="0" xfId="0"/>
    <xf numFmtId="0" fontId="3" fillId="0" borderId="0" xfId="0" applyFont="1" applyProtection="1">
      <protection locked="0"/>
    </xf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12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4" fillId="4" borderId="3" xfId="3" applyFont="1" applyFill="1" applyBorder="1" applyAlignment="1">
      <alignment horizontal="left" vertical="center"/>
    </xf>
    <xf numFmtId="0" fontId="14" fillId="4" borderId="4" xfId="3" applyFont="1" applyFill="1" applyBorder="1" applyAlignment="1">
      <alignment vertical="center"/>
    </xf>
    <xf numFmtId="0" fontId="14" fillId="4" borderId="5" xfId="3" applyFont="1" applyFill="1" applyBorder="1" applyAlignment="1">
      <alignment vertical="center"/>
    </xf>
    <xf numFmtId="0" fontId="8" fillId="0" borderId="6" xfId="3" applyBorder="1"/>
    <xf numFmtId="179" fontId="9" fillId="0" borderId="7" xfId="3" applyNumberFormat="1" applyFont="1" applyBorder="1"/>
    <xf numFmtId="179" fontId="9" fillId="2" borderId="8" xfId="3" applyNumberFormat="1" applyFont="1" applyFill="1" applyBorder="1"/>
    <xf numFmtId="0" fontId="11" fillId="0" borderId="6" xfId="3" applyFont="1" applyBorder="1"/>
    <xf numFmtId="179" fontId="9" fillId="3" borderId="8" xfId="3" applyNumberFormat="1" applyFont="1" applyFill="1" applyBorder="1"/>
    <xf numFmtId="179" fontId="9" fillId="0" borderId="8" xfId="3" applyNumberFormat="1" applyFont="1" applyBorder="1"/>
    <xf numFmtId="0" fontId="11" fillId="0" borderId="9" xfId="3" applyFont="1" applyBorder="1"/>
    <xf numFmtId="179" fontId="9" fillId="0" borderId="10" xfId="3" applyNumberFormat="1" applyFont="1" applyBorder="1"/>
    <xf numFmtId="179" fontId="9" fillId="0" borderId="11" xfId="3" applyNumberFormat="1" applyFont="1" applyBorder="1"/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5" fillId="4" borderId="2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2" xfId="2" applyFont="1" applyFill="1" applyBorder="1" applyAlignment="1">
      <alignment horizontal="center" vertical="center" wrapText="1"/>
    </xf>
    <xf numFmtId="177" fontId="15" fillId="4" borderId="2" xfId="2" applyNumberFormat="1" applyFont="1" applyFill="1" applyBorder="1" applyAlignment="1">
      <alignment horizontal="center" vertical="center" wrapText="1"/>
    </xf>
    <xf numFmtId="176" fontId="15" fillId="4" borderId="2" xfId="2" applyNumberFormat="1" applyFont="1" applyFill="1" applyBorder="1" applyAlignment="1">
      <alignment horizontal="center" vertical="center" wrapText="1"/>
    </xf>
    <xf numFmtId="0" fontId="17" fillId="0" borderId="0" xfId="0" applyFont="1" applyProtection="1">
      <protection locked="0"/>
    </xf>
    <xf numFmtId="0" fontId="19" fillId="0" borderId="0" xfId="5" applyFont="1"/>
    <xf numFmtId="180" fontId="20" fillId="0" borderId="0" xfId="5" applyNumberFormat="1" applyFont="1"/>
    <xf numFmtId="0" fontId="20" fillId="0" borderId="0" xfId="5" applyFont="1"/>
    <xf numFmtId="176" fontId="15" fillId="0" borderId="0" xfId="2" applyNumberFormat="1" applyFont="1" applyAlignment="1">
      <alignment horizontal="center" vertical="center" wrapText="1"/>
    </xf>
    <xf numFmtId="177" fontId="15" fillId="0" borderId="0" xfId="2" applyNumberFormat="1" applyFont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10" fontId="22" fillId="0" borderId="0" xfId="5" applyNumberFormat="1" applyFont="1" applyAlignment="1">
      <alignment horizontal="center"/>
    </xf>
    <xf numFmtId="0" fontId="23" fillId="0" borderId="0" xfId="5" applyFont="1" applyAlignment="1">
      <alignment horizontal="center"/>
    </xf>
    <xf numFmtId="180" fontId="22" fillId="0" borderId="0" xfId="5" applyNumberFormat="1" applyFont="1"/>
    <xf numFmtId="0" fontId="7" fillId="0" borderId="0" xfId="6"/>
    <xf numFmtId="0" fontId="7" fillId="0" borderId="0" xfId="6" applyAlignment="1">
      <alignment horizontal="center"/>
    </xf>
    <xf numFmtId="0" fontId="25" fillId="4" borderId="0" xfId="6" applyFont="1" applyFill="1"/>
    <xf numFmtId="0" fontId="3" fillId="0" borderId="1" xfId="0" applyFont="1" applyBorder="1" applyProtection="1">
      <protection locked="0"/>
    </xf>
    <xf numFmtId="0" fontId="26" fillId="0" borderId="0" xfId="1" applyFont="1" applyAlignment="1" applyProtection="1">
      <protection locked="0"/>
    </xf>
    <xf numFmtId="0" fontId="24" fillId="0" borderId="0" xfId="5" applyFont="1" applyAlignment="1">
      <alignment horizontal="center"/>
    </xf>
  </cellXfs>
  <cellStyles count="7">
    <cellStyle name="常规" xfId="0" builtinId="0"/>
    <cellStyle name="常规 2" xfId="4" xr:uid="{DBE5D0AA-0EC5-DE4E-B05F-4E236C9D4AD1}"/>
    <cellStyle name="常规 3" xfId="6" xr:uid="{CA02F3AB-5A95-F94B-A641-FFA00C03E563}"/>
    <cellStyle name="常规 4" xfId="5" xr:uid="{BD5258CC-F6F5-2745-8F37-456D8027FF7C}"/>
    <cellStyle name="常规_Sheet1" xfId="2" xr:uid="{00000000-0005-0000-0000-000001000000}"/>
    <cellStyle name="常规_函数练习事例" xfId="3" xr:uid="{00000000-0005-0000-0000-000002000000}"/>
    <cellStyle name="超链接" xfId="1" builtinId="8"/>
  </cellStyles>
  <dxfs count="7">
    <dxf>
      <font>
        <strike val="0"/>
        <outline val="0"/>
        <shadow val="0"/>
        <u val="none"/>
        <vertAlign val="baseline"/>
        <color auto="1"/>
      </font>
      <numFmt numFmtId="180" formatCode="0_ 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numFmt numFmtId="180" formatCode="0_ 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0"/>
        <name val="宋体"/>
        <charset val="134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subtotal!$D$8</c:f>
              <c:strCache>
                <c:ptCount val="1"/>
                <c:pt idx="0">
                  <c:v>销售数量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subtotal!$C$9:$C$32</c:f>
              <c:strCache>
                <c:ptCount val="6"/>
                <c:pt idx="0">
                  <c:v>牛奶</c:v>
                </c:pt>
                <c:pt idx="1">
                  <c:v>番茄酱</c:v>
                </c:pt>
                <c:pt idx="2">
                  <c:v>蟹</c:v>
                </c:pt>
                <c:pt idx="3">
                  <c:v>可乐</c:v>
                </c:pt>
                <c:pt idx="4">
                  <c:v>酱油</c:v>
                </c:pt>
                <c:pt idx="5">
                  <c:v>薯条</c:v>
                </c:pt>
              </c:strCache>
            </c:strRef>
          </c:cat>
          <c:val>
            <c:numRef>
              <c:f>subtotal!$D$9:$D$32</c:f>
              <c:numCache>
                <c:formatCode>General</c:formatCode>
                <c:ptCount val="6"/>
                <c:pt idx="0">
                  <c:v>8</c:v>
                </c:pt>
                <c:pt idx="1">
                  <c:v>100</c:v>
                </c:pt>
                <c:pt idx="2">
                  <c:v>50</c:v>
                </c:pt>
                <c:pt idx="3">
                  <c:v>30</c:v>
                </c:pt>
                <c:pt idx="4">
                  <c:v>60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D-2C4B-AA31-58625B49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8860639"/>
        <c:axId val="888865215"/>
      </c:barChart>
      <c:catAx>
        <c:axId val="88886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865215"/>
        <c:crosses val="autoZero"/>
        <c:auto val="1"/>
        <c:lblAlgn val="ctr"/>
        <c:lblOffset val="100"/>
        <c:noMultiLvlLbl val="0"/>
      </c:catAx>
      <c:valAx>
        <c:axId val="8888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86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subtotal!$D$8</c:f>
              <c:strCache>
                <c:ptCount val="1"/>
                <c:pt idx="0">
                  <c:v>销售数量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subtotal!$C$9:$C$32</c:f>
              <c:strCache>
                <c:ptCount val="6"/>
                <c:pt idx="0">
                  <c:v>牛奶</c:v>
                </c:pt>
                <c:pt idx="1">
                  <c:v>番茄酱</c:v>
                </c:pt>
                <c:pt idx="2">
                  <c:v>蟹</c:v>
                </c:pt>
                <c:pt idx="3">
                  <c:v>可乐</c:v>
                </c:pt>
                <c:pt idx="4">
                  <c:v>酱油</c:v>
                </c:pt>
                <c:pt idx="5">
                  <c:v>薯条</c:v>
                </c:pt>
              </c:strCache>
            </c:strRef>
          </c:cat>
          <c:val>
            <c:numRef>
              <c:f>subtotal!$D$9:$D$32</c:f>
              <c:numCache>
                <c:formatCode>General</c:formatCode>
                <c:ptCount val="6"/>
                <c:pt idx="0">
                  <c:v>8</c:v>
                </c:pt>
                <c:pt idx="1">
                  <c:v>100</c:v>
                </c:pt>
                <c:pt idx="2">
                  <c:v>50</c:v>
                </c:pt>
                <c:pt idx="3">
                  <c:v>30</c:v>
                </c:pt>
                <c:pt idx="4">
                  <c:v>60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0-DA41-9BAF-BE72EEBD0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8860639"/>
        <c:axId val="888865215"/>
      </c:barChart>
      <c:catAx>
        <c:axId val="88886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865215"/>
        <c:crosses val="autoZero"/>
        <c:auto val="1"/>
        <c:lblAlgn val="ctr"/>
        <c:lblOffset val="100"/>
        <c:noMultiLvlLbl val="0"/>
      </c:catAx>
      <c:valAx>
        <c:axId val="8888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86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subtotal!$D$8</c:f>
              <c:strCache>
                <c:ptCount val="1"/>
                <c:pt idx="0">
                  <c:v>销售数量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subtotal!$C$9:$C$32</c:f>
              <c:strCache>
                <c:ptCount val="6"/>
                <c:pt idx="0">
                  <c:v>牛奶</c:v>
                </c:pt>
                <c:pt idx="1">
                  <c:v>番茄酱</c:v>
                </c:pt>
                <c:pt idx="2">
                  <c:v>蟹</c:v>
                </c:pt>
                <c:pt idx="3">
                  <c:v>可乐</c:v>
                </c:pt>
                <c:pt idx="4">
                  <c:v>酱油</c:v>
                </c:pt>
                <c:pt idx="5">
                  <c:v>薯条</c:v>
                </c:pt>
              </c:strCache>
            </c:strRef>
          </c:cat>
          <c:val>
            <c:numRef>
              <c:f>subtotal!$D$9:$D$32</c:f>
              <c:numCache>
                <c:formatCode>General</c:formatCode>
                <c:ptCount val="6"/>
                <c:pt idx="0">
                  <c:v>8</c:v>
                </c:pt>
                <c:pt idx="1">
                  <c:v>100</c:v>
                </c:pt>
                <c:pt idx="2">
                  <c:v>50</c:v>
                </c:pt>
                <c:pt idx="3">
                  <c:v>30</c:v>
                </c:pt>
                <c:pt idx="4">
                  <c:v>60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7-DA48-92B1-57869512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8860639"/>
        <c:axId val="888865215"/>
      </c:barChart>
      <c:catAx>
        <c:axId val="88886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865215"/>
        <c:crosses val="autoZero"/>
        <c:auto val="1"/>
        <c:lblAlgn val="ctr"/>
        <c:lblOffset val="100"/>
        <c:noMultiLvlLbl val="0"/>
      </c:catAx>
      <c:valAx>
        <c:axId val="8888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86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08112" y="2169584"/>
    <xdr:ext cx="4655471" cy="783166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所属区域">
              <a:extLst>
                <a:ext uri="{FF2B5EF4-FFF2-40B4-BE49-F238E27FC236}">
                  <a16:creationId xmlns:a16="http://schemas.microsoft.com/office/drawing/2014/main" id="{627BA9EF-A333-C346-807F-603CF1B54C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所属区域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112" y="2169584"/>
              <a:ext cx="4655471" cy="783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此形状表示表切片器。此版本的 Excel 中不支持表切片器。
如果形状是在较早版本的 Excel 中修改的，或者工作簿是使用 Excel 2007 或更早版本保存的，则不能使用切片器。</a:t>
              </a:r>
            </a:p>
          </xdr:txBody>
        </xdr:sp>
      </mc:Fallback>
    </mc:AlternateContent>
    <xdr:clientData/>
  </xdr:absoluteAnchor>
  <xdr:twoCellAnchor>
    <xdr:from>
      <xdr:col>1</xdr:col>
      <xdr:colOff>276</xdr:colOff>
      <xdr:row>1</xdr:row>
      <xdr:rowOff>19049</xdr:rowOff>
    </xdr:from>
    <xdr:to>
      <xdr:col>5</xdr:col>
      <xdr:colOff>127000</xdr:colOff>
      <xdr:row>6</xdr:row>
      <xdr:rowOff>24570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5C27803-00DC-A648-855A-40B198C3C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21442</xdr:colOff>
      <xdr:row>1</xdr:row>
      <xdr:rowOff>0</xdr:rowOff>
    </xdr:from>
    <xdr:to>
      <xdr:col>5</xdr:col>
      <xdr:colOff>148166</xdr:colOff>
      <xdr:row>6</xdr:row>
      <xdr:rowOff>5521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6E9DB6B-C6A6-4444-84AB-F1ED30F98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5</xdr:col>
      <xdr:colOff>126724</xdr:colOff>
      <xdr:row>6</xdr:row>
      <xdr:rowOff>5521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80DCF55-3A6C-4148-BD55-38C09E2D8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所属区域" xr10:uid="{02A214AA-0DCB-B74B-8780-C7F5A31CCA29}" sourceName="所属区域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所属区域" xr10:uid="{1ADB1DD0-3269-F44F-82FC-1DE5A402D5B8}" cache="切片器_所属区域" caption="所属区域" columnCount="4" style="SlicerStyleDark1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7427B-1E66-204F-8DFC-17975FBEF33B}" name="表1" displayName="表1" ref="B8:F32" totalsRowShown="0" headerRowDxfId="6" dataDxfId="5">
  <autoFilter ref="B8:F32" xr:uid="{B8CEDBBC-A11A-4859-9A0F-EF80C5BA4EDF}">
    <filterColumn colId="0">
      <filters>
        <filter val="昆山"/>
      </filters>
    </filterColumn>
  </autoFilter>
  <tableColumns count="5">
    <tableColumn id="1" xr3:uid="{45FADAFB-1DC8-41B4-A2CF-2F817E3AE394}" name="所属区域" dataDxfId="4"/>
    <tableColumn id="2" xr3:uid="{3C370CA9-A38B-4C0E-8F2A-FB819B6F4E3F}" name="产品类别" dataDxfId="3"/>
    <tableColumn id="3" xr3:uid="{6FEC86FF-36AF-443C-BCD9-25F68A94E92C}" name="销售数量" dataDxfId="2"/>
    <tableColumn id="4" xr3:uid="{5CD12704-A6DC-431B-9293-4622C9F23D3F}" name="金额" dataDxfId="1"/>
    <tableColumn id="5" xr3:uid="{5A1F6A29-0FC0-421C-8B6C-E344D89C8B31}" name="成本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I52"/>
  <sheetViews>
    <sheetView topLeftCell="A8" zoomScale="150" zoomScaleNormal="150" workbookViewId="0">
      <selection activeCell="I20" sqref="I20"/>
    </sheetView>
  </sheetViews>
  <sheetFormatPr baseColWidth="10" defaultColWidth="9" defaultRowHeight="14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9" s="49" customFormat="1" ht="15" thickBot="1"/>
    <row r="3" spans="1:9" ht="15" thickTop="1"/>
    <row r="4" spans="1:9">
      <c r="A4" s="1" t="s">
        <v>0</v>
      </c>
      <c r="B4" s="5" t="s">
        <v>28</v>
      </c>
    </row>
    <row r="6" spans="1:9">
      <c r="B6" s="1" t="s">
        <v>30</v>
      </c>
    </row>
    <row r="7" spans="1:9">
      <c r="C7" s="36" t="s">
        <v>218</v>
      </c>
    </row>
    <row r="9" spans="1:9">
      <c r="B9" s="1" t="s">
        <v>31</v>
      </c>
    </row>
    <row r="10" spans="1:9">
      <c r="C10" s="36" t="s">
        <v>213</v>
      </c>
      <c r="I10" s="10"/>
    </row>
    <row r="11" spans="1:9">
      <c r="C11" s="36" t="s">
        <v>214</v>
      </c>
    </row>
    <row r="13" spans="1:9">
      <c r="B13" s="1" t="s">
        <v>227</v>
      </c>
    </row>
    <row r="14" spans="1:9">
      <c r="C14" s="36" t="s">
        <v>215</v>
      </c>
    </row>
    <row r="16" spans="1:9">
      <c r="B16" s="1" t="s">
        <v>228</v>
      </c>
    </row>
    <row r="17" spans="1:9">
      <c r="C17" s="36" t="s">
        <v>216</v>
      </c>
    </row>
    <row r="19" spans="1:9">
      <c r="B19" s="1" t="s">
        <v>229</v>
      </c>
    </row>
    <row r="20" spans="1:9">
      <c r="C20" s="36" t="s">
        <v>219</v>
      </c>
      <c r="I20" s="10"/>
    </row>
    <row r="21" spans="1:9">
      <c r="I21" s="10"/>
    </row>
    <row r="22" spans="1:9">
      <c r="A22" s="1" t="s">
        <v>1</v>
      </c>
      <c r="B22" s="5" t="s">
        <v>29</v>
      </c>
    </row>
    <row r="24" spans="1:9">
      <c r="B24" s="1" t="s">
        <v>222</v>
      </c>
    </row>
    <row r="25" spans="1:9">
      <c r="C25" s="36" t="s">
        <v>217</v>
      </c>
    </row>
    <row r="26" spans="1:9">
      <c r="C26" s="36" t="s">
        <v>301</v>
      </c>
    </row>
    <row r="27" spans="1:9">
      <c r="C27" s="36"/>
    </row>
    <row r="28" spans="1:9">
      <c r="B28" s="1" t="s">
        <v>32</v>
      </c>
      <c r="G28" s="50"/>
    </row>
    <row r="30" spans="1:9">
      <c r="B30" s="1" t="s">
        <v>33</v>
      </c>
    </row>
    <row r="31" spans="1:9">
      <c r="D31" s="4"/>
    </row>
    <row r="32" spans="1:9">
      <c r="C32" s="1" t="s">
        <v>209</v>
      </c>
      <c r="D32" s="4"/>
    </row>
    <row r="33" spans="1:9">
      <c r="D33" s="4"/>
    </row>
    <row r="34" spans="1:9">
      <c r="C34" s="1" t="s">
        <v>210</v>
      </c>
      <c r="D34" s="4"/>
      <c r="I34" s="10"/>
    </row>
    <row r="35" spans="1:9">
      <c r="D35" s="36" t="s">
        <v>230</v>
      </c>
      <c r="I35" s="10"/>
    </row>
    <row r="36" spans="1:9">
      <c r="D36" s="36" t="s">
        <v>224</v>
      </c>
    </row>
    <row r="37" spans="1:9">
      <c r="D37" s="36" t="s">
        <v>225</v>
      </c>
    </row>
    <row r="39" spans="1:9">
      <c r="C39" s="1" t="s">
        <v>231</v>
      </c>
    </row>
    <row r="40" spans="1:9">
      <c r="D40" s="36" t="s">
        <v>226</v>
      </c>
    </row>
    <row r="41" spans="1:9">
      <c r="D41" s="36"/>
    </row>
    <row r="42" spans="1:9">
      <c r="A42" s="1" t="s">
        <v>298</v>
      </c>
      <c r="B42" s="10" t="s">
        <v>299</v>
      </c>
      <c r="D42" s="36"/>
    </row>
    <row r="43" spans="1:9">
      <c r="D43" s="36"/>
    </row>
    <row r="44" spans="1:9">
      <c r="C44" s="36" t="s">
        <v>288</v>
      </c>
      <c r="D44" s="36" t="s">
        <v>289</v>
      </c>
    </row>
    <row r="45" spans="1:9">
      <c r="C45" s="36" t="s">
        <v>290</v>
      </c>
      <c r="D45" s="36" t="s">
        <v>291</v>
      </c>
    </row>
    <row r="46" spans="1:9">
      <c r="C46" s="36" t="s">
        <v>292</v>
      </c>
      <c r="D46" s="36" t="s">
        <v>293</v>
      </c>
    </row>
    <row r="48" spans="1:9">
      <c r="B48" s="1" t="s">
        <v>300</v>
      </c>
    </row>
    <row r="50" spans="3:5">
      <c r="C50" s="36" t="s">
        <v>295</v>
      </c>
      <c r="E50" s="36" t="s">
        <v>294</v>
      </c>
    </row>
    <row r="51" spans="3:5">
      <c r="C51" s="36" t="s">
        <v>296</v>
      </c>
    </row>
    <row r="52" spans="3:5">
      <c r="C52" s="36" t="s">
        <v>297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="150" zoomScaleNormal="150" workbookViewId="0">
      <selection activeCell="D21" sqref="D21"/>
    </sheetView>
  </sheetViews>
  <sheetFormatPr baseColWidth="10" defaultColWidth="8.83203125" defaultRowHeight="15"/>
  <sheetData>
    <row r="1" spans="1:7" ht="16">
      <c r="A1" s="13" t="s">
        <v>71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5" t="s">
        <v>39</v>
      </c>
    </row>
    <row r="2" spans="1:7" ht="16">
      <c r="A2" s="16" t="s">
        <v>51</v>
      </c>
      <c r="B2" s="17">
        <v>86</v>
      </c>
      <c r="C2" s="17">
        <v>55</v>
      </c>
      <c r="D2" s="17">
        <v>90</v>
      </c>
      <c r="E2" s="17">
        <v>39</v>
      </c>
      <c r="F2" s="17">
        <v>84</v>
      </c>
      <c r="G2" s="18">
        <v>60</v>
      </c>
    </row>
    <row r="3" spans="1:7" ht="17">
      <c r="A3" s="19" t="s">
        <v>46</v>
      </c>
      <c r="B3" s="17">
        <v>45</v>
      </c>
      <c r="C3" s="17">
        <v>79</v>
      </c>
      <c r="D3" s="17">
        <v>94</v>
      </c>
      <c r="E3" s="17">
        <v>97</v>
      </c>
      <c r="F3" s="17">
        <v>99</v>
      </c>
      <c r="G3" s="20">
        <v>55.8</v>
      </c>
    </row>
    <row r="4" spans="1:7" ht="16">
      <c r="A4" s="16" t="s">
        <v>44</v>
      </c>
      <c r="B4" s="17">
        <v>86</v>
      </c>
      <c r="C4" s="17">
        <v>79</v>
      </c>
      <c r="D4" s="17">
        <v>98</v>
      </c>
      <c r="E4" s="17">
        <v>90</v>
      </c>
      <c r="F4" s="17">
        <v>99</v>
      </c>
      <c r="G4" s="21">
        <v>91</v>
      </c>
    </row>
    <row r="5" spans="1:7" ht="16">
      <c r="A5" s="16" t="s">
        <v>40</v>
      </c>
      <c r="B5" s="17">
        <v>86</v>
      </c>
      <c r="C5" s="17">
        <v>88</v>
      </c>
      <c r="D5" s="17">
        <v>67</v>
      </c>
      <c r="E5" s="17">
        <v>56</v>
      </c>
      <c r="F5" s="17">
        <v>99</v>
      </c>
      <c r="G5" s="20">
        <v>48.9</v>
      </c>
    </row>
    <row r="6" spans="1:7" ht="16">
      <c r="A6" s="16" t="s">
        <v>50</v>
      </c>
      <c r="B6" s="17">
        <v>95</v>
      </c>
      <c r="C6" s="17">
        <v>96</v>
      </c>
      <c r="D6" s="17">
        <v>94</v>
      </c>
      <c r="E6" s="17">
        <v>89</v>
      </c>
      <c r="F6" s="17">
        <v>84</v>
      </c>
      <c r="G6" s="21">
        <v>99</v>
      </c>
    </row>
    <row r="7" spans="1:7" ht="16">
      <c r="A7" s="16" t="s">
        <v>45</v>
      </c>
      <c r="B7" s="17">
        <v>77</v>
      </c>
      <c r="C7" s="17">
        <v>98</v>
      </c>
      <c r="D7" s="17">
        <v>94</v>
      </c>
      <c r="E7" s="17">
        <v>45</v>
      </c>
      <c r="F7" s="17">
        <v>84</v>
      </c>
      <c r="G7" s="21">
        <v>85</v>
      </c>
    </row>
    <row r="8" spans="1:7" ht="17">
      <c r="A8" s="19" t="s">
        <v>49</v>
      </c>
      <c r="B8" s="17">
        <v>60</v>
      </c>
      <c r="C8" s="17">
        <v>64</v>
      </c>
      <c r="D8" s="17">
        <v>77</v>
      </c>
      <c r="E8" s="17">
        <v>90</v>
      </c>
      <c r="F8" s="17">
        <v>71</v>
      </c>
      <c r="G8" s="18">
        <v>64</v>
      </c>
    </row>
    <row r="9" spans="1:7" ht="16">
      <c r="A9" s="16" t="s">
        <v>53</v>
      </c>
      <c r="B9" s="17">
        <v>86</v>
      </c>
      <c r="C9" s="17">
        <v>47</v>
      </c>
      <c r="D9" s="17">
        <v>54</v>
      </c>
      <c r="E9" s="17">
        <v>85</v>
      </c>
      <c r="F9" s="17">
        <v>84</v>
      </c>
      <c r="G9" s="18">
        <v>71</v>
      </c>
    </row>
    <row r="10" spans="1:7" ht="16">
      <c r="A10" s="16" t="s">
        <v>41</v>
      </c>
      <c r="B10" s="17">
        <v>95</v>
      </c>
      <c r="C10" s="17">
        <v>79</v>
      </c>
      <c r="D10" s="17">
        <v>77</v>
      </c>
      <c r="E10" s="17">
        <v>90</v>
      </c>
      <c r="F10" s="17">
        <v>65</v>
      </c>
      <c r="G10" s="21">
        <v>91</v>
      </c>
    </row>
    <row r="11" spans="1:7" ht="16">
      <c r="A11" s="16" t="s">
        <v>48</v>
      </c>
      <c r="B11" s="17">
        <v>77</v>
      </c>
      <c r="C11" s="17">
        <v>79</v>
      </c>
      <c r="D11" s="17">
        <v>77</v>
      </c>
      <c r="E11" s="17">
        <v>90</v>
      </c>
      <c r="F11" s="17">
        <v>83</v>
      </c>
      <c r="G11" s="21">
        <v>91</v>
      </c>
    </row>
    <row r="12" spans="1:7" ht="16">
      <c r="A12" s="16" t="s">
        <v>43</v>
      </c>
      <c r="B12" s="17">
        <v>95</v>
      </c>
      <c r="C12" s="17">
        <v>89</v>
      </c>
      <c r="D12" s="17">
        <v>98</v>
      </c>
      <c r="E12" s="17">
        <v>90</v>
      </c>
      <c r="F12" s="17">
        <v>84</v>
      </c>
      <c r="G12" s="21">
        <v>91</v>
      </c>
    </row>
    <row r="13" spans="1:7" ht="17">
      <c r="A13" s="19" t="s">
        <v>47</v>
      </c>
      <c r="B13" s="17">
        <v>95</v>
      </c>
      <c r="C13" s="17">
        <v>71</v>
      </c>
      <c r="D13" s="17">
        <v>77</v>
      </c>
      <c r="E13" s="17">
        <v>83</v>
      </c>
      <c r="F13" s="17">
        <v>84</v>
      </c>
      <c r="G13" s="18">
        <v>77</v>
      </c>
    </row>
    <row r="14" spans="1:7" ht="17">
      <c r="A14" s="19" t="s">
        <v>42</v>
      </c>
      <c r="B14" s="17">
        <v>78</v>
      </c>
      <c r="C14" s="17">
        <v>79</v>
      </c>
      <c r="D14" s="17">
        <v>77</v>
      </c>
      <c r="E14" s="17">
        <v>90</v>
      </c>
      <c r="F14" s="17">
        <v>79</v>
      </c>
      <c r="G14" s="21">
        <v>90</v>
      </c>
    </row>
    <row r="15" spans="1:7" ht="17">
      <c r="A15" s="22" t="s">
        <v>52</v>
      </c>
      <c r="B15" s="23">
        <v>44</v>
      </c>
      <c r="C15" s="23">
        <v>32</v>
      </c>
      <c r="D15" s="23">
        <v>94</v>
      </c>
      <c r="E15" s="23">
        <v>67</v>
      </c>
      <c r="F15" s="23">
        <v>60</v>
      </c>
      <c r="G15" s="24">
        <v>91</v>
      </c>
    </row>
  </sheetData>
  <sortState xmlns:xlrd2="http://schemas.microsoft.com/office/spreadsheetml/2017/richdata2" ref="A2:G15">
    <sortCondition ref="A9:A15"/>
  </sortState>
  <phoneticPr fontId="6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zoomScale="150" zoomScaleNormal="150" workbookViewId="0">
      <selection activeCell="E19" sqref="E19"/>
    </sheetView>
  </sheetViews>
  <sheetFormatPr baseColWidth="10" defaultColWidth="8.83203125" defaultRowHeight="15"/>
  <cols>
    <col min="1" max="1" width="7.5" bestFit="1" customWidth="1"/>
    <col min="2" max="2" width="7.1640625" bestFit="1" customWidth="1"/>
    <col min="3" max="3" width="11.6640625" bestFit="1" customWidth="1"/>
    <col min="4" max="4" width="7.5" bestFit="1" customWidth="1"/>
    <col min="5" max="5" width="9.5" bestFit="1" customWidth="1"/>
    <col min="6" max="6" width="8" customWidth="1"/>
    <col min="7" max="7" width="7.6640625" customWidth="1"/>
    <col min="8" max="8" width="9.6640625" customWidth="1"/>
    <col min="9" max="9" width="7" customWidth="1"/>
    <col min="10" max="10" width="7.5" bestFit="1" customWidth="1"/>
    <col min="11" max="11" width="8.5" bestFit="1" customWidth="1"/>
  </cols>
  <sheetData>
    <row r="1" spans="1:12">
      <c r="A1" s="31" t="s">
        <v>71</v>
      </c>
      <c r="B1" s="31" t="s">
        <v>72</v>
      </c>
      <c r="C1" s="31" t="s">
        <v>84</v>
      </c>
      <c r="D1" s="31" t="s">
        <v>85</v>
      </c>
      <c r="E1" s="31" t="s">
        <v>86</v>
      </c>
      <c r="F1" s="31" t="s">
        <v>87</v>
      </c>
      <c r="G1" s="31" t="s">
        <v>88</v>
      </c>
      <c r="H1" s="31" t="s">
        <v>89</v>
      </c>
      <c r="I1" s="31" t="s">
        <v>90</v>
      </c>
      <c r="J1" s="31" t="s">
        <v>91</v>
      </c>
      <c r="K1" s="31" t="s">
        <v>92</v>
      </c>
      <c r="L1">
        <v>0</v>
      </c>
    </row>
    <row r="2" spans="1:12">
      <c r="A2" s="8" t="s">
        <v>73</v>
      </c>
      <c r="B2" s="9" t="s">
        <v>103</v>
      </c>
      <c r="C2" s="8">
        <v>6300</v>
      </c>
      <c r="D2" s="8">
        <v>47.93</v>
      </c>
      <c r="E2" s="8">
        <v>6347.93</v>
      </c>
      <c r="F2" s="8">
        <v>0</v>
      </c>
      <c r="G2" s="8">
        <v>3884.3558282208587</v>
      </c>
      <c r="H2" s="8">
        <v>2463.5700000000002</v>
      </c>
      <c r="I2" s="8">
        <v>0</v>
      </c>
      <c r="J2" s="8">
        <v>0</v>
      </c>
      <c r="K2" s="8">
        <v>2463.5700000000002</v>
      </c>
      <c r="L2" s="11">
        <v>1</v>
      </c>
    </row>
    <row r="3" spans="1:12">
      <c r="A3" s="8" t="s">
        <v>74</v>
      </c>
      <c r="B3" s="9" t="s">
        <v>93</v>
      </c>
      <c r="C3" s="8">
        <v>6300</v>
      </c>
      <c r="D3" s="8"/>
      <c r="E3" s="8">
        <v>6300</v>
      </c>
      <c r="F3" s="8">
        <v>0</v>
      </c>
      <c r="G3" s="8">
        <v>0</v>
      </c>
      <c r="H3" s="8">
        <v>6300</v>
      </c>
      <c r="I3" s="8">
        <v>0</v>
      </c>
      <c r="J3" s="8">
        <v>152.38999999999999</v>
      </c>
      <c r="K3" s="8">
        <v>5921.51</v>
      </c>
      <c r="L3">
        <v>2</v>
      </c>
    </row>
    <row r="4" spans="1:12">
      <c r="A4" s="8" t="s">
        <v>75</v>
      </c>
      <c r="B4" s="9" t="s">
        <v>94</v>
      </c>
      <c r="C4" s="8">
        <v>600</v>
      </c>
      <c r="D4" s="8"/>
      <c r="E4" s="8">
        <v>600</v>
      </c>
      <c r="F4" s="8">
        <v>0</v>
      </c>
      <c r="G4" s="8">
        <v>0</v>
      </c>
      <c r="H4" s="8">
        <v>600</v>
      </c>
      <c r="I4" s="8">
        <v>0</v>
      </c>
      <c r="J4" s="8">
        <v>0</v>
      </c>
      <c r="K4" s="8">
        <v>600</v>
      </c>
      <c r="L4" s="11">
        <v>3</v>
      </c>
    </row>
    <row r="5" spans="1:12">
      <c r="A5" s="8" t="s">
        <v>76</v>
      </c>
      <c r="B5" s="9" t="s">
        <v>95</v>
      </c>
      <c r="C5" s="8">
        <v>2400</v>
      </c>
      <c r="D5" s="8"/>
      <c r="E5" s="8">
        <v>2400</v>
      </c>
      <c r="F5" s="8">
        <v>0</v>
      </c>
      <c r="G5" s="8">
        <v>0</v>
      </c>
      <c r="H5" s="8">
        <v>2400</v>
      </c>
      <c r="I5" s="8">
        <v>100</v>
      </c>
      <c r="J5" s="8">
        <v>0</v>
      </c>
      <c r="K5" s="8">
        <v>2073.9</v>
      </c>
      <c r="L5">
        <v>4</v>
      </c>
    </row>
    <row r="6" spans="1:12">
      <c r="A6" s="8" t="s">
        <v>77</v>
      </c>
      <c r="B6" s="9" t="s">
        <v>96</v>
      </c>
      <c r="C6" s="8">
        <v>2000</v>
      </c>
      <c r="D6" s="8">
        <v>32.020000000000003</v>
      </c>
      <c r="E6" s="8">
        <v>2032.02</v>
      </c>
      <c r="F6" s="8">
        <v>0</v>
      </c>
      <c r="G6" s="8">
        <v>1233.1288343558281</v>
      </c>
      <c r="H6" s="8">
        <v>798.89</v>
      </c>
      <c r="I6" s="8">
        <v>0</v>
      </c>
      <c r="J6" s="8">
        <v>0</v>
      </c>
      <c r="K6" s="8">
        <v>798.89</v>
      </c>
      <c r="L6" s="11">
        <v>5</v>
      </c>
    </row>
    <row r="7" spans="1:12">
      <c r="A7" s="8" t="s">
        <v>78</v>
      </c>
      <c r="B7" s="9" t="s">
        <v>97</v>
      </c>
      <c r="C7" s="8">
        <v>3000</v>
      </c>
      <c r="D7" s="8"/>
      <c r="E7" s="8">
        <v>3000</v>
      </c>
      <c r="F7" s="8">
        <v>0</v>
      </c>
      <c r="G7" s="8">
        <v>0</v>
      </c>
      <c r="H7" s="8">
        <v>3000</v>
      </c>
      <c r="I7" s="8">
        <v>100</v>
      </c>
      <c r="J7" s="8">
        <v>0</v>
      </c>
      <c r="K7" s="8">
        <v>2673.9</v>
      </c>
      <c r="L7">
        <v>6</v>
      </c>
    </row>
    <row r="8" spans="1:12">
      <c r="A8" s="8" t="s">
        <v>79</v>
      </c>
      <c r="B8" s="9" t="s">
        <v>98</v>
      </c>
      <c r="C8" s="8">
        <v>4000</v>
      </c>
      <c r="D8" s="8"/>
      <c r="E8" s="8">
        <v>4000</v>
      </c>
      <c r="F8" s="8">
        <v>1802.1472392638038</v>
      </c>
      <c r="G8" s="8">
        <v>0</v>
      </c>
      <c r="H8" s="8">
        <v>2197.85</v>
      </c>
      <c r="I8" s="8">
        <v>100</v>
      </c>
      <c r="J8" s="8">
        <v>0</v>
      </c>
      <c r="K8" s="8">
        <v>1871.75</v>
      </c>
      <c r="L8" s="11">
        <v>7</v>
      </c>
    </row>
    <row r="9" spans="1:12">
      <c r="A9" s="8" t="s">
        <v>80</v>
      </c>
      <c r="B9" s="9" t="s">
        <v>99</v>
      </c>
      <c r="C9" s="8">
        <v>1800</v>
      </c>
      <c r="D9" s="8"/>
      <c r="E9" s="8">
        <v>1800</v>
      </c>
      <c r="F9" s="8">
        <v>0</v>
      </c>
      <c r="G9" s="8">
        <v>488.65030674846616</v>
      </c>
      <c r="H9" s="8">
        <v>1311.35</v>
      </c>
      <c r="I9" s="8">
        <v>0</v>
      </c>
      <c r="J9" s="8">
        <v>0</v>
      </c>
      <c r="K9" s="8">
        <v>1311.35</v>
      </c>
      <c r="L9">
        <v>8</v>
      </c>
    </row>
    <row r="10" spans="1:12">
      <c r="A10" s="8" t="s">
        <v>81</v>
      </c>
      <c r="B10" s="9" t="s">
        <v>100</v>
      </c>
      <c r="C10" s="8">
        <v>1600</v>
      </c>
      <c r="D10" s="8"/>
      <c r="E10" s="8">
        <v>1600</v>
      </c>
      <c r="F10" s="8">
        <v>0</v>
      </c>
      <c r="G10" s="8">
        <v>0</v>
      </c>
      <c r="H10" s="8">
        <v>1600</v>
      </c>
      <c r="I10" s="8">
        <v>0</v>
      </c>
      <c r="J10" s="8">
        <v>0</v>
      </c>
      <c r="K10" s="8">
        <v>1373.9</v>
      </c>
      <c r="L10" s="11">
        <v>9</v>
      </c>
    </row>
    <row r="11" spans="1:12">
      <c r="A11" s="8" t="s">
        <v>82</v>
      </c>
      <c r="B11" s="9" t="s">
        <v>101</v>
      </c>
      <c r="C11" s="8">
        <v>3000</v>
      </c>
      <c r="D11" s="8"/>
      <c r="E11" s="8">
        <v>3000</v>
      </c>
      <c r="F11" s="8">
        <v>0</v>
      </c>
      <c r="G11" s="8">
        <v>0</v>
      </c>
      <c r="H11" s="8">
        <v>3000</v>
      </c>
      <c r="I11" s="8">
        <v>0</v>
      </c>
      <c r="J11" s="8">
        <v>0</v>
      </c>
      <c r="K11" s="8">
        <v>2773.9</v>
      </c>
      <c r="L11">
        <v>10</v>
      </c>
    </row>
    <row r="12" spans="1:12">
      <c r="A12" s="8" t="s">
        <v>83</v>
      </c>
      <c r="B12" s="9" t="s">
        <v>102</v>
      </c>
      <c r="C12" s="8">
        <v>3000</v>
      </c>
      <c r="D12" s="8"/>
      <c r="E12" s="8">
        <v>3000</v>
      </c>
      <c r="F12" s="8">
        <v>230.06134969325154</v>
      </c>
      <c r="G12" s="8">
        <v>1734.6625766871164</v>
      </c>
      <c r="H12" s="8">
        <v>1035.28</v>
      </c>
      <c r="I12" s="8">
        <v>0</v>
      </c>
      <c r="J12" s="8">
        <v>0</v>
      </c>
      <c r="K12" s="8">
        <v>1035.28</v>
      </c>
      <c r="L12" s="11">
        <v>11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86"/>
  <sheetViews>
    <sheetView zoomScale="150" zoomScaleNormal="150" workbookViewId="0">
      <selection activeCell="O4" sqref="O4"/>
    </sheetView>
  </sheetViews>
  <sheetFormatPr baseColWidth="10" defaultColWidth="8.83203125" defaultRowHeight="15"/>
  <sheetData>
    <row r="1" spans="1:20">
      <c r="A1" s="29" t="s">
        <v>104</v>
      </c>
      <c r="B1" s="29" t="s">
        <v>105</v>
      </c>
      <c r="C1" s="29" t="s">
        <v>106</v>
      </c>
      <c r="D1" s="29" t="s">
        <v>107</v>
      </c>
      <c r="E1" s="29" t="s">
        <v>108</v>
      </c>
      <c r="F1" s="30" t="s">
        <v>109</v>
      </c>
    </row>
    <row r="2" spans="1:20">
      <c r="A2" s="3">
        <v>1</v>
      </c>
      <c r="B2" s="3">
        <v>29</v>
      </c>
      <c r="C2" s="3" t="s">
        <v>110</v>
      </c>
      <c r="D2" s="3" t="s">
        <v>111</v>
      </c>
      <c r="E2" s="3" t="s">
        <v>112</v>
      </c>
      <c r="F2" s="7">
        <v>5</v>
      </c>
      <c r="I2" s="8"/>
      <c r="J2" s="8"/>
      <c r="K2" s="8"/>
      <c r="L2" s="8"/>
    </row>
    <row r="3" spans="1:20">
      <c r="A3" s="3">
        <v>1</v>
      </c>
      <c r="B3" s="3">
        <v>29</v>
      </c>
      <c r="C3" s="3" t="s">
        <v>113</v>
      </c>
      <c r="D3" s="3" t="s">
        <v>111</v>
      </c>
      <c r="E3" s="3" t="s">
        <v>114</v>
      </c>
      <c r="F3" s="7">
        <v>14.8</v>
      </c>
      <c r="I3" s="8" t="s">
        <v>211</v>
      </c>
      <c r="J3" s="8"/>
      <c r="K3" s="8"/>
      <c r="L3" s="8"/>
    </row>
    <row r="4" spans="1:20">
      <c r="A4" s="3">
        <v>1</v>
      </c>
      <c r="B4" s="3">
        <v>31</v>
      </c>
      <c r="C4" s="3" t="s">
        <v>115</v>
      </c>
      <c r="D4" s="3" t="s">
        <v>116</v>
      </c>
      <c r="E4" s="3" t="s">
        <v>112</v>
      </c>
      <c r="F4" s="7">
        <v>20</v>
      </c>
      <c r="I4" s="8"/>
      <c r="J4" s="8"/>
      <c r="K4" s="8"/>
      <c r="L4" s="8"/>
    </row>
    <row r="5" spans="1:20">
      <c r="A5" s="3">
        <v>1</v>
      </c>
      <c r="B5" s="3">
        <v>29</v>
      </c>
      <c r="C5" s="3" t="s">
        <v>117</v>
      </c>
      <c r="D5" s="3" t="s">
        <v>116</v>
      </c>
      <c r="E5" s="3" t="s">
        <v>118</v>
      </c>
      <c r="F5" s="7">
        <v>50</v>
      </c>
      <c r="I5" s="8" t="s">
        <v>206</v>
      </c>
      <c r="J5" s="8"/>
      <c r="K5" s="8"/>
      <c r="L5" s="8"/>
      <c r="O5" s="25"/>
      <c r="P5" s="25"/>
      <c r="Q5" s="25"/>
      <c r="R5" s="25"/>
      <c r="S5" s="25"/>
      <c r="T5" s="26"/>
    </row>
    <row r="6" spans="1:20">
      <c r="A6" s="3">
        <v>1</v>
      </c>
      <c r="B6" s="3">
        <v>29</v>
      </c>
      <c r="C6" s="3" t="s">
        <v>110</v>
      </c>
      <c r="D6" s="3" t="s">
        <v>116</v>
      </c>
      <c r="E6" s="3" t="s">
        <v>119</v>
      </c>
      <c r="F6" s="7">
        <v>56</v>
      </c>
      <c r="I6" s="8"/>
      <c r="J6" s="8"/>
      <c r="K6" s="8"/>
      <c r="L6" s="8"/>
      <c r="O6" s="27"/>
      <c r="P6" s="27"/>
      <c r="Q6" s="27"/>
      <c r="R6" s="27"/>
      <c r="S6" s="27"/>
      <c r="T6" s="28"/>
    </row>
    <row r="7" spans="1:20">
      <c r="A7" s="3">
        <v>1</v>
      </c>
      <c r="B7" s="3">
        <v>24</v>
      </c>
      <c r="C7" s="3" t="s">
        <v>120</v>
      </c>
      <c r="D7" s="3" t="s">
        <v>121</v>
      </c>
      <c r="E7" s="3" t="s">
        <v>122</v>
      </c>
      <c r="F7" s="7">
        <v>65</v>
      </c>
      <c r="I7" s="8" t="s">
        <v>207</v>
      </c>
      <c r="J7" s="8"/>
      <c r="K7" s="8"/>
      <c r="L7" s="8"/>
      <c r="O7" s="27"/>
      <c r="P7" s="27"/>
      <c r="Q7" s="27"/>
      <c r="R7" s="27"/>
      <c r="S7" s="27"/>
      <c r="T7" s="28"/>
    </row>
    <row r="8" spans="1:20">
      <c r="A8" s="3">
        <v>1</v>
      </c>
      <c r="B8" s="3">
        <v>29</v>
      </c>
      <c r="C8" s="3" t="s">
        <v>113</v>
      </c>
      <c r="D8" s="3" t="s">
        <v>116</v>
      </c>
      <c r="E8" s="3" t="s">
        <v>118</v>
      </c>
      <c r="F8" s="7">
        <v>70</v>
      </c>
      <c r="I8" s="8"/>
      <c r="J8" s="8"/>
      <c r="K8" s="8"/>
      <c r="L8" s="8"/>
      <c r="O8" s="27"/>
      <c r="P8" s="27"/>
      <c r="Q8" s="27"/>
      <c r="R8" s="27"/>
      <c r="S8" s="27"/>
      <c r="T8" s="28"/>
    </row>
    <row r="9" spans="1:20">
      <c r="A9" s="3">
        <v>1</v>
      </c>
      <c r="B9" s="3">
        <v>29</v>
      </c>
      <c r="C9" s="3" t="s">
        <v>117</v>
      </c>
      <c r="D9" s="3" t="s">
        <v>123</v>
      </c>
      <c r="E9" s="3" t="s">
        <v>124</v>
      </c>
      <c r="F9" s="7">
        <v>78</v>
      </c>
      <c r="I9" s="8" t="s">
        <v>208</v>
      </c>
      <c r="J9" s="8"/>
      <c r="K9" s="8"/>
      <c r="L9" s="8"/>
      <c r="O9" s="27"/>
      <c r="P9" s="27"/>
      <c r="Q9" s="27"/>
      <c r="R9" s="27"/>
      <c r="S9" s="27"/>
      <c r="T9" s="28"/>
    </row>
    <row r="10" spans="1:20">
      <c r="A10" s="3">
        <v>1</v>
      </c>
      <c r="B10" s="3">
        <v>29</v>
      </c>
      <c r="C10" s="3" t="s">
        <v>117</v>
      </c>
      <c r="D10" s="3" t="s">
        <v>125</v>
      </c>
      <c r="E10" s="3" t="s">
        <v>126</v>
      </c>
      <c r="F10" s="7">
        <v>150</v>
      </c>
      <c r="I10" s="8"/>
      <c r="J10" s="8"/>
      <c r="K10" s="8"/>
      <c r="L10" s="8"/>
    </row>
    <row r="11" spans="1:20">
      <c r="A11" s="3">
        <v>1</v>
      </c>
      <c r="B11" s="3">
        <v>29</v>
      </c>
      <c r="C11" s="3" t="s">
        <v>127</v>
      </c>
      <c r="D11" s="3" t="s">
        <v>116</v>
      </c>
      <c r="E11" s="3" t="s">
        <v>112</v>
      </c>
      <c r="F11" s="7">
        <v>150</v>
      </c>
      <c r="I11" s="11" t="s">
        <v>220</v>
      </c>
      <c r="J11" s="8"/>
      <c r="K11" s="8"/>
      <c r="L11" s="8"/>
    </row>
    <row r="12" spans="1:20">
      <c r="A12" s="3">
        <v>1</v>
      </c>
      <c r="B12" s="3">
        <v>24</v>
      </c>
      <c r="C12" s="3" t="s">
        <v>120</v>
      </c>
      <c r="D12" s="3" t="s">
        <v>116</v>
      </c>
      <c r="E12" s="3" t="s">
        <v>128</v>
      </c>
      <c r="F12" s="7">
        <v>180</v>
      </c>
      <c r="I12" s="8"/>
      <c r="J12" s="8"/>
      <c r="K12" s="8"/>
      <c r="L12" s="8"/>
    </row>
    <row r="13" spans="1:20">
      <c r="A13" s="3">
        <v>1</v>
      </c>
      <c r="B13" s="3">
        <v>29</v>
      </c>
      <c r="C13" s="3" t="s">
        <v>113</v>
      </c>
      <c r="D13" s="3" t="s">
        <v>129</v>
      </c>
      <c r="E13" s="3" t="s">
        <v>130</v>
      </c>
      <c r="F13" s="7">
        <v>258</v>
      </c>
      <c r="I13" s="11" t="s">
        <v>221</v>
      </c>
      <c r="J13" s="8"/>
      <c r="K13" s="8"/>
      <c r="L13" s="8"/>
    </row>
    <row r="14" spans="1:20">
      <c r="A14" s="3">
        <v>1</v>
      </c>
      <c r="B14" s="3">
        <v>31</v>
      </c>
      <c r="C14" s="3" t="s">
        <v>131</v>
      </c>
      <c r="D14" s="3" t="s">
        <v>116</v>
      </c>
      <c r="E14" s="3" t="s">
        <v>132</v>
      </c>
      <c r="F14" s="7">
        <v>258.5</v>
      </c>
      <c r="J14" s="8"/>
      <c r="K14" s="8"/>
      <c r="L14" s="8"/>
    </row>
    <row r="15" spans="1:20">
      <c r="A15" s="3">
        <v>1</v>
      </c>
      <c r="B15" s="3">
        <v>24</v>
      </c>
      <c r="C15" s="3" t="s">
        <v>120</v>
      </c>
      <c r="D15" s="3" t="s">
        <v>121</v>
      </c>
      <c r="E15" s="3" t="s">
        <v>133</v>
      </c>
      <c r="F15" s="7">
        <v>267.08</v>
      </c>
      <c r="J15" s="8"/>
      <c r="K15" s="8"/>
      <c r="L15" s="8"/>
    </row>
    <row r="16" spans="1:20">
      <c r="A16" s="3">
        <v>1</v>
      </c>
      <c r="B16" s="3">
        <v>29</v>
      </c>
      <c r="C16" s="3" t="s">
        <v>134</v>
      </c>
      <c r="D16" s="3" t="s">
        <v>116</v>
      </c>
      <c r="E16" s="3" t="s">
        <v>114</v>
      </c>
      <c r="F16" s="7">
        <v>277.7</v>
      </c>
      <c r="I16" s="11" t="s">
        <v>107</v>
      </c>
      <c r="J16" s="11" t="s">
        <v>109</v>
      </c>
    </row>
    <row r="17" spans="1:10">
      <c r="A17" s="3">
        <v>1</v>
      </c>
      <c r="B17" s="3">
        <v>31</v>
      </c>
      <c r="C17" s="3" t="s">
        <v>131</v>
      </c>
      <c r="D17" s="3" t="s">
        <v>125</v>
      </c>
      <c r="E17" s="3" t="s">
        <v>135</v>
      </c>
      <c r="F17" s="7">
        <v>278</v>
      </c>
      <c r="I17" s="11" t="s">
        <v>121</v>
      </c>
      <c r="J17" s="11" t="s">
        <v>223</v>
      </c>
    </row>
    <row r="18" spans="1:10">
      <c r="A18" s="3">
        <v>1</v>
      </c>
      <c r="B18" s="3">
        <v>31</v>
      </c>
      <c r="C18" s="3" t="s">
        <v>115</v>
      </c>
      <c r="D18" s="3" t="s">
        <v>123</v>
      </c>
      <c r="E18" s="3" t="s">
        <v>126</v>
      </c>
      <c r="F18" s="7">
        <v>350</v>
      </c>
      <c r="I18" s="11" t="s">
        <v>111</v>
      </c>
    </row>
    <row r="19" spans="1:10">
      <c r="A19" s="3">
        <v>1</v>
      </c>
      <c r="B19" s="3">
        <v>29</v>
      </c>
      <c r="C19" s="3" t="s">
        <v>134</v>
      </c>
      <c r="D19" s="3" t="s">
        <v>123</v>
      </c>
      <c r="E19" s="3" t="s">
        <v>124</v>
      </c>
      <c r="F19" s="7">
        <v>408</v>
      </c>
    </row>
    <row r="20" spans="1:10">
      <c r="A20" s="3">
        <v>1</v>
      </c>
      <c r="B20" s="3">
        <v>29</v>
      </c>
      <c r="C20" s="3" t="s">
        <v>117</v>
      </c>
      <c r="D20" s="3" t="s">
        <v>123</v>
      </c>
      <c r="E20" s="3" t="s">
        <v>124</v>
      </c>
      <c r="F20" s="7">
        <v>560</v>
      </c>
    </row>
    <row r="21" spans="1:10">
      <c r="A21" s="3">
        <v>1</v>
      </c>
      <c r="B21" s="3">
        <v>29</v>
      </c>
      <c r="C21" s="3" t="s">
        <v>117</v>
      </c>
      <c r="D21" s="3" t="s">
        <v>116</v>
      </c>
      <c r="E21" s="3" t="s">
        <v>136</v>
      </c>
      <c r="F21" s="7">
        <v>600</v>
      </c>
    </row>
    <row r="22" spans="1:10">
      <c r="A22" s="3">
        <v>1</v>
      </c>
      <c r="B22" s="3">
        <v>24</v>
      </c>
      <c r="C22" s="3" t="s">
        <v>120</v>
      </c>
      <c r="D22" s="3" t="s">
        <v>121</v>
      </c>
      <c r="E22" s="3" t="s">
        <v>137</v>
      </c>
      <c r="F22" s="7">
        <v>925</v>
      </c>
    </row>
    <row r="23" spans="1:10">
      <c r="A23" s="3">
        <v>1</v>
      </c>
      <c r="B23" s="3">
        <v>29</v>
      </c>
      <c r="C23" s="3" t="s">
        <v>134</v>
      </c>
      <c r="D23" s="3" t="s">
        <v>125</v>
      </c>
      <c r="E23" s="3" t="s">
        <v>135</v>
      </c>
      <c r="F23" s="7">
        <v>953</v>
      </c>
    </row>
    <row r="24" spans="1:10">
      <c r="A24" s="3">
        <v>1</v>
      </c>
      <c r="B24" s="3">
        <v>29</v>
      </c>
      <c r="C24" s="3" t="s">
        <v>117</v>
      </c>
      <c r="D24" s="3" t="s">
        <v>116</v>
      </c>
      <c r="E24" s="3" t="s">
        <v>118</v>
      </c>
      <c r="F24" s="7">
        <v>1010</v>
      </c>
    </row>
    <row r="25" spans="1:10">
      <c r="A25" s="3">
        <v>1</v>
      </c>
      <c r="B25" s="3">
        <v>29</v>
      </c>
      <c r="C25" s="3" t="s">
        <v>117</v>
      </c>
      <c r="D25" s="3" t="s">
        <v>116</v>
      </c>
      <c r="E25" s="3" t="s">
        <v>136</v>
      </c>
      <c r="F25" s="7">
        <v>1016.78</v>
      </c>
    </row>
    <row r="26" spans="1:10">
      <c r="A26" s="3">
        <v>1</v>
      </c>
      <c r="B26" s="3">
        <v>29</v>
      </c>
      <c r="C26" s="3" t="s">
        <v>127</v>
      </c>
      <c r="D26" s="3" t="s">
        <v>116</v>
      </c>
      <c r="E26" s="3" t="s">
        <v>112</v>
      </c>
      <c r="F26" s="7">
        <v>1046</v>
      </c>
    </row>
    <row r="27" spans="1:10">
      <c r="A27" s="3">
        <v>1</v>
      </c>
      <c r="B27" s="3">
        <v>24</v>
      </c>
      <c r="C27" s="3" t="s">
        <v>120</v>
      </c>
      <c r="D27" s="3" t="s">
        <v>129</v>
      </c>
      <c r="E27" s="3" t="s">
        <v>138</v>
      </c>
      <c r="F27" s="7">
        <v>1066.25</v>
      </c>
    </row>
    <row r="28" spans="1:10">
      <c r="A28" s="3">
        <v>1</v>
      </c>
      <c r="B28" s="3">
        <v>24</v>
      </c>
      <c r="C28" s="3" t="s">
        <v>120</v>
      </c>
      <c r="D28" s="3" t="s">
        <v>129</v>
      </c>
      <c r="E28" s="3" t="s">
        <v>139</v>
      </c>
      <c r="F28" s="7">
        <v>1068</v>
      </c>
    </row>
    <row r="29" spans="1:10">
      <c r="A29" s="3">
        <v>1</v>
      </c>
      <c r="B29" s="3">
        <v>29</v>
      </c>
      <c r="C29" s="3" t="s">
        <v>110</v>
      </c>
      <c r="D29" s="3" t="s">
        <v>123</v>
      </c>
      <c r="E29" s="3" t="s">
        <v>124</v>
      </c>
      <c r="F29" s="7">
        <v>1256.3</v>
      </c>
    </row>
    <row r="30" spans="1:10">
      <c r="A30" s="3">
        <v>1</v>
      </c>
      <c r="B30" s="3">
        <v>29</v>
      </c>
      <c r="C30" s="3" t="s">
        <v>140</v>
      </c>
      <c r="D30" s="3" t="s">
        <v>116</v>
      </c>
      <c r="E30" s="3" t="s">
        <v>141</v>
      </c>
      <c r="F30" s="7">
        <v>1260</v>
      </c>
    </row>
    <row r="31" spans="1:10">
      <c r="A31" s="3">
        <v>1</v>
      </c>
      <c r="B31" s="3">
        <v>31</v>
      </c>
      <c r="C31" s="3" t="s">
        <v>115</v>
      </c>
      <c r="D31" s="3" t="s">
        <v>142</v>
      </c>
      <c r="E31" s="3" t="s">
        <v>126</v>
      </c>
      <c r="F31" s="7">
        <v>1300</v>
      </c>
    </row>
    <row r="32" spans="1:10">
      <c r="A32" s="3">
        <v>1</v>
      </c>
      <c r="B32" s="3">
        <v>29</v>
      </c>
      <c r="C32" s="3" t="s">
        <v>143</v>
      </c>
      <c r="D32" s="3" t="s">
        <v>123</v>
      </c>
      <c r="E32" s="3" t="s">
        <v>124</v>
      </c>
      <c r="F32" s="7">
        <v>1328.9</v>
      </c>
    </row>
    <row r="33" spans="1:6">
      <c r="A33" s="3">
        <v>1</v>
      </c>
      <c r="B33" s="3">
        <v>24</v>
      </c>
      <c r="C33" s="3" t="s">
        <v>120</v>
      </c>
      <c r="D33" s="3" t="s">
        <v>121</v>
      </c>
      <c r="E33" s="3" t="s">
        <v>144</v>
      </c>
      <c r="F33" s="7">
        <v>1421.66</v>
      </c>
    </row>
    <row r="34" spans="1:6">
      <c r="A34" s="3">
        <v>1</v>
      </c>
      <c r="B34" s="3">
        <v>29</v>
      </c>
      <c r="C34" s="3" t="s">
        <v>127</v>
      </c>
      <c r="D34" s="3" t="s">
        <v>123</v>
      </c>
      <c r="E34" s="3" t="s">
        <v>124</v>
      </c>
      <c r="F34" s="7">
        <v>1755</v>
      </c>
    </row>
    <row r="35" spans="1:6">
      <c r="A35" s="3">
        <v>1</v>
      </c>
      <c r="B35" s="3">
        <v>29</v>
      </c>
      <c r="C35" s="3" t="s">
        <v>127</v>
      </c>
      <c r="D35" s="3" t="s">
        <v>123</v>
      </c>
      <c r="E35" s="3" t="s">
        <v>124</v>
      </c>
      <c r="F35" s="7">
        <v>2220</v>
      </c>
    </row>
    <row r="36" spans="1:6">
      <c r="A36" s="3">
        <v>1</v>
      </c>
      <c r="B36" s="3">
        <v>29</v>
      </c>
      <c r="C36" s="3" t="s">
        <v>113</v>
      </c>
      <c r="D36" s="3" t="s">
        <v>125</v>
      </c>
      <c r="E36" s="3" t="s">
        <v>135</v>
      </c>
      <c r="F36" s="7">
        <v>2561</v>
      </c>
    </row>
    <row r="37" spans="1:6">
      <c r="A37" s="3">
        <v>1</v>
      </c>
      <c r="B37" s="3">
        <v>29</v>
      </c>
      <c r="C37" s="3" t="s">
        <v>110</v>
      </c>
      <c r="D37" s="3" t="s">
        <v>142</v>
      </c>
      <c r="E37" s="3" t="s">
        <v>124</v>
      </c>
      <c r="F37" s="7">
        <v>2977.9</v>
      </c>
    </row>
    <row r="38" spans="1:6">
      <c r="A38" s="3">
        <v>1</v>
      </c>
      <c r="B38" s="3">
        <v>31</v>
      </c>
      <c r="C38" s="3" t="s">
        <v>145</v>
      </c>
      <c r="D38" s="3" t="s">
        <v>142</v>
      </c>
      <c r="E38" s="3" t="s">
        <v>124</v>
      </c>
      <c r="F38" s="7">
        <v>3048.4</v>
      </c>
    </row>
    <row r="39" spans="1:6">
      <c r="A39" s="3">
        <v>1</v>
      </c>
      <c r="B39" s="3">
        <v>23</v>
      </c>
      <c r="C39" s="3" t="s">
        <v>146</v>
      </c>
      <c r="D39" s="3" t="s">
        <v>116</v>
      </c>
      <c r="E39" s="3" t="s">
        <v>147</v>
      </c>
      <c r="F39" s="7">
        <v>3600</v>
      </c>
    </row>
    <row r="40" spans="1:6">
      <c r="A40" s="3">
        <v>1</v>
      </c>
      <c r="B40" s="3">
        <v>31</v>
      </c>
      <c r="C40" s="3" t="s">
        <v>148</v>
      </c>
      <c r="D40" s="3" t="s">
        <v>142</v>
      </c>
      <c r="E40" s="3" t="s">
        <v>124</v>
      </c>
      <c r="F40" s="7">
        <v>6058.9</v>
      </c>
    </row>
    <row r="41" spans="1:6">
      <c r="A41" s="3">
        <v>1</v>
      </c>
      <c r="B41" s="3">
        <v>24</v>
      </c>
      <c r="C41" s="3" t="s">
        <v>120</v>
      </c>
      <c r="D41" s="3" t="s">
        <v>121</v>
      </c>
      <c r="E41" s="3" t="s">
        <v>149</v>
      </c>
      <c r="F41" s="7">
        <v>15783</v>
      </c>
    </row>
    <row r="42" spans="1:6">
      <c r="A42" s="3">
        <v>1</v>
      </c>
      <c r="B42" s="3">
        <v>29</v>
      </c>
      <c r="C42" s="3" t="s">
        <v>150</v>
      </c>
      <c r="D42" s="3" t="s">
        <v>111</v>
      </c>
      <c r="E42" s="3" t="s">
        <v>151</v>
      </c>
      <c r="F42" s="7">
        <v>31330.77</v>
      </c>
    </row>
    <row r="43" spans="1:6">
      <c r="A43" s="3">
        <v>2</v>
      </c>
      <c r="B43" s="3">
        <v>5</v>
      </c>
      <c r="C43" s="3" t="s">
        <v>152</v>
      </c>
      <c r="D43" s="3" t="s">
        <v>111</v>
      </c>
      <c r="E43" s="3" t="s">
        <v>132</v>
      </c>
      <c r="F43" s="7">
        <v>18</v>
      </c>
    </row>
    <row r="44" spans="1:6">
      <c r="A44" s="3">
        <v>2</v>
      </c>
      <c r="B44" s="3">
        <v>12</v>
      </c>
      <c r="C44" s="3" t="s">
        <v>153</v>
      </c>
      <c r="D44" s="3" t="s">
        <v>123</v>
      </c>
      <c r="E44" s="3" t="s">
        <v>124</v>
      </c>
      <c r="F44" s="7">
        <v>36</v>
      </c>
    </row>
    <row r="45" spans="1:6">
      <c r="A45" s="3">
        <v>2</v>
      </c>
      <c r="B45" s="3">
        <v>7</v>
      </c>
      <c r="C45" s="3" t="s">
        <v>154</v>
      </c>
      <c r="D45" s="3" t="s">
        <v>125</v>
      </c>
      <c r="E45" s="3" t="s">
        <v>135</v>
      </c>
      <c r="F45" s="7">
        <v>52</v>
      </c>
    </row>
    <row r="46" spans="1:6">
      <c r="A46" s="3">
        <v>2</v>
      </c>
      <c r="B46" s="3">
        <v>7</v>
      </c>
      <c r="C46" s="3" t="s">
        <v>154</v>
      </c>
      <c r="D46" s="3" t="s">
        <v>125</v>
      </c>
      <c r="E46" s="3" t="s">
        <v>135</v>
      </c>
      <c r="F46" s="7">
        <v>60</v>
      </c>
    </row>
    <row r="47" spans="1:6">
      <c r="A47" s="3">
        <v>2</v>
      </c>
      <c r="B47" s="3">
        <v>13</v>
      </c>
      <c r="C47" s="3" t="s">
        <v>115</v>
      </c>
      <c r="D47" s="3" t="s">
        <v>121</v>
      </c>
      <c r="E47" s="3" t="s">
        <v>122</v>
      </c>
      <c r="F47" s="7">
        <v>65</v>
      </c>
    </row>
    <row r="48" spans="1:6">
      <c r="A48" s="3">
        <v>2</v>
      </c>
      <c r="B48" s="3">
        <v>13</v>
      </c>
      <c r="C48" s="3" t="s">
        <v>113</v>
      </c>
      <c r="D48" s="3" t="s">
        <v>123</v>
      </c>
      <c r="E48" s="3" t="s">
        <v>124</v>
      </c>
      <c r="F48" s="7">
        <v>78</v>
      </c>
    </row>
    <row r="49" spans="1:6">
      <c r="A49" s="3">
        <v>2</v>
      </c>
      <c r="B49" s="3">
        <v>1</v>
      </c>
      <c r="C49" s="3" t="s">
        <v>155</v>
      </c>
      <c r="D49" s="3" t="s">
        <v>125</v>
      </c>
      <c r="E49" s="3" t="s">
        <v>135</v>
      </c>
      <c r="F49" s="7">
        <v>80</v>
      </c>
    </row>
    <row r="50" spans="1:6">
      <c r="A50" s="3">
        <v>2</v>
      </c>
      <c r="B50" s="3">
        <v>8</v>
      </c>
      <c r="C50" s="3" t="s">
        <v>156</v>
      </c>
      <c r="D50" s="3" t="s">
        <v>116</v>
      </c>
      <c r="E50" s="3" t="s">
        <v>157</v>
      </c>
      <c r="F50" s="7">
        <v>95</v>
      </c>
    </row>
    <row r="51" spans="1:6">
      <c r="A51" s="3">
        <v>2</v>
      </c>
      <c r="B51" s="3">
        <v>7</v>
      </c>
      <c r="C51" s="3" t="s">
        <v>158</v>
      </c>
      <c r="D51" s="3" t="s">
        <v>123</v>
      </c>
      <c r="E51" s="3" t="s">
        <v>124</v>
      </c>
      <c r="F51" s="7">
        <v>108</v>
      </c>
    </row>
    <row r="52" spans="1:6">
      <c r="A52" s="3">
        <v>2</v>
      </c>
      <c r="B52" s="3">
        <v>7</v>
      </c>
      <c r="C52" s="3" t="s">
        <v>154</v>
      </c>
      <c r="D52" s="3" t="s">
        <v>116</v>
      </c>
      <c r="E52" s="3" t="s">
        <v>114</v>
      </c>
      <c r="F52" s="7">
        <v>120.7</v>
      </c>
    </row>
    <row r="53" spans="1:6">
      <c r="A53" s="3">
        <v>2</v>
      </c>
      <c r="B53" s="3">
        <v>14</v>
      </c>
      <c r="C53" s="3" t="s">
        <v>159</v>
      </c>
      <c r="D53" s="3" t="s">
        <v>116</v>
      </c>
      <c r="E53" s="3" t="s">
        <v>118</v>
      </c>
      <c r="F53" s="7">
        <v>133</v>
      </c>
    </row>
    <row r="54" spans="1:6">
      <c r="A54" s="3">
        <v>2</v>
      </c>
      <c r="B54" s="3">
        <v>8</v>
      </c>
      <c r="C54" s="3" t="s">
        <v>120</v>
      </c>
      <c r="D54" s="3" t="s">
        <v>125</v>
      </c>
      <c r="E54" s="3" t="s">
        <v>126</v>
      </c>
      <c r="F54" s="7">
        <v>150</v>
      </c>
    </row>
    <row r="55" spans="1:6">
      <c r="A55" s="3">
        <v>2</v>
      </c>
      <c r="B55" s="3">
        <v>13</v>
      </c>
      <c r="C55" s="3" t="s">
        <v>115</v>
      </c>
      <c r="D55" s="3" t="s">
        <v>116</v>
      </c>
      <c r="E55" s="3" t="s">
        <v>128</v>
      </c>
      <c r="F55" s="7">
        <v>180</v>
      </c>
    </row>
    <row r="56" spans="1:6">
      <c r="A56" s="3">
        <v>2</v>
      </c>
      <c r="B56" s="3">
        <v>7</v>
      </c>
      <c r="C56" s="3" t="s">
        <v>154</v>
      </c>
      <c r="D56" s="3" t="s">
        <v>125</v>
      </c>
      <c r="E56" s="3" t="s">
        <v>126</v>
      </c>
      <c r="F56" s="7">
        <v>200</v>
      </c>
    </row>
    <row r="57" spans="1:6">
      <c r="A57" s="3">
        <v>2</v>
      </c>
      <c r="B57" s="3">
        <v>13</v>
      </c>
      <c r="C57" s="3" t="s">
        <v>113</v>
      </c>
      <c r="D57" s="3" t="s">
        <v>125</v>
      </c>
      <c r="E57" s="3" t="s">
        <v>126</v>
      </c>
      <c r="F57" s="7">
        <v>200</v>
      </c>
    </row>
    <row r="58" spans="1:6">
      <c r="A58" s="3">
        <v>2</v>
      </c>
      <c r="B58" s="3">
        <v>12</v>
      </c>
      <c r="C58" s="3" t="s">
        <v>153</v>
      </c>
      <c r="D58" s="3" t="s">
        <v>116</v>
      </c>
      <c r="E58" s="3" t="s">
        <v>118</v>
      </c>
      <c r="F58" s="7">
        <v>215</v>
      </c>
    </row>
    <row r="59" spans="1:6">
      <c r="A59" s="3">
        <v>2</v>
      </c>
      <c r="B59" s="3">
        <v>14</v>
      </c>
      <c r="C59" s="3" t="s">
        <v>159</v>
      </c>
      <c r="D59" s="3" t="s">
        <v>116</v>
      </c>
      <c r="E59" s="3" t="s">
        <v>160</v>
      </c>
      <c r="F59" s="7">
        <v>220</v>
      </c>
    </row>
    <row r="60" spans="1:6">
      <c r="A60" s="3">
        <v>2</v>
      </c>
      <c r="B60" s="3">
        <v>13</v>
      </c>
      <c r="C60" s="3" t="s">
        <v>134</v>
      </c>
      <c r="D60" s="3" t="s">
        <v>116</v>
      </c>
      <c r="E60" s="3" t="s">
        <v>119</v>
      </c>
      <c r="F60" s="7">
        <v>240</v>
      </c>
    </row>
    <row r="61" spans="1:6">
      <c r="A61" s="3">
        <v>2</v>
      </c>
      <c r="B61" s="3">
        <v>13</v>
      </c>
      <c r="C61" s="3" t="s">
        <v>161</v>
      </c>
      <c r="D61" s="3" t="s">
        <v>116</v>
      </c>
      <c r="E61" s="3" t="s">
        <v>114</v>
      </c>
      <c r="F61" s="7">
        <v>262.10000000000002</v>
      </c>
    </row>
    <row r="62" spans="1:6">
      <c r="A62" s="3">
        <v>2</v>
      </c>
      <c r="B62" s="3">
        <v>13</v>
      </c>
      <c r="C62" s="3" t="s">
        <v>115</v>
      </c>
      <c r="D62" s="3" t="s">
        <v>121</v>
      </c>
      <c r="E62" s="3" t="s">
        <v>133</v>
      </c>
      <c r="F62" s="7">
        <v>304.92</v>
      </c>
    </row>
    <row r="63" spans="1:6">
      <c r="A63" s="3">
        <v>2</v>
      </c>
      <c r="B63" s="3">
        <v>13</v>
      </c>
      <c r="C63" s="3" t="s">
        <v>161</v>
      </c>
      <c r="D63" s="3" t="s">
        <v>125</v>
      </c>
      <c r="E63" s="3" t="s">
        <v>135</v>
      </c>
      <c r="F63" s="7">
        <v>380</v>
      </c>
    </row>
    <row r="64" spans="1:6">
      <c r="A64" s="3">
        <v>2</v>
      </c>
      <c r="B64" s="3">
        <v>14</v>
      </c>
      <c r="C64" s="3" t="s">
        <v>159</v>
      </c>
      <c r="D64" s="3" t="s">
        <v>116</v>
      </c>
      <c r="E64" s="3" t="s">
        <v>114</v>
      </c>
      <c r="F64" s="7">
        <v>429.3</v>
      </c>
    </row>
    <row r="65" spans="1:6">
      <c r="A65" s="3">
        <v>2</v>
      </c>
      <c r="B65" s="3">
        <v>12</v>
      </c>
      <c r="C65" s="3" t="s">
        <v>153</v>
      </c>
      <c r="D65" s="3" t="s">
        <v>116</v>
      </c>
      <c r="E65" s="3" t="s">
        <v>136</v>
      </c>
      <c r="F65" s="7">
        <v>620</v>
      </c>
    </row>
    <row r="66" spans="1:6">
      <c r="A66" s="3">
        <v>2</v>
      </c>
      <c r="B66" s="3">
        <v>13</v>
      </c>
      <c r="C66" s="3" t="s">
        <v>161</v>
      </c>
      <c r="D66" s="3" t="s">
        <v>116</v>
      </c>
      <c r="E66" s="3" t="s">
        <v>136</v>
      </c>
      <c r="F66" s="7">
        <v>737</v>
      </c>
    </row>
    <row r="67" spans="1:6">
      <c r="A67" s="3">
        <v>2</v>
      </c>
      <c r="B67" s="3">
        <v>7</v>
      </c>
      <c r="C67" s="3" t="s">
        <v>146</v>
      </c>
      <c r="D67" s="3" t="s">
        <v>125</v>
      </c>
      <c r="E67" s="3" t="s">
        <v>135</v>
      </c>
      <c r="F67" s="7">
        <v>746</v>
      </c>
    </row>
    <row r="68" spans="1:6">
      <c r="A68" s="3">
        <v>2</v>
      </c>
      <c r="B68" s="3">
        <v>13</v>
      </c>
      <c r="C68" s="3" t="s">
        <v>115</v>
      </c>
      <c r="D68" s="3" t="s">
        <v>121</v>
      </c>
      <c r="E68" s="3" t="s">
        <v>137</v>
      </c>
      <c r="F68" s="7">
        <v>935</v>
      </c>
    </row>
    <row r="69" spans="1:6">
      <c r="A69" s="3">
        <v>2</v>
      </c>
      <c r="B69" s="3">
        <v>13</v>
      </c>
      <c r="C69" s="3" t="s">
        <v>162</v>
      </c>
      <c r="D69" s="3" t="s">
        <v>142</v>
      </c>
      <c r="E69" s="3" t="s">
        <v>126</v>
      </c>
      <c r="F69" s="7">
        <v>1000</v>
      </c>
    </row>
    <row r="70" spans="1:6">
      <c r="A70" s="3">
        <v>2</v>
      </c>
      <c r="B70" s="3">
        <v>13</v>
      </c>
      <c r="C70" s="3" t="s">
        <v>163</v>
      </c>
      <c r="D70" s="3" t="s">
        <v>123</v>
      </c>
      <c r="E70" s="3" t="s">
        <v>124</v>
      </c>
      <c r="F70" s="7">
        <v>1051.5999999999999</v>
      </c>
    </row>
    <row r="71" spans="1:6">
      <c r="A71" s="3">
        <v>2</v>
      </c>
      <c r="B71" s="3">
        <v>13</v>
      </c>
      <c r="C71" s="3" t="s">
        <v>115</v>
      </c>
      <c r="D71" s="3" t="s">
        <v>129</v>
      </c>
      <c r="E71" s="3" t="s">
        <v>139</v>
      </c>
      <c r="F71" s="7">
        <v>1058</v>
      </c>
    </row>
    <row r="72" spans="1:6">
      <c r="A72" s="3">
        <v>2</v>
      </c>
      <c r="B72" s="3">
        <v>13</v>
      </c>
      <c r="C72" s="3" t="s">
        <v>127</v>
      </c>
      <c r="D72" s="3" t="s">
        <v>116</v>
      </c>
      <c r="E72" s="3" t="s">
        <v>164</v>
      </c>
      <c r="F72" s="7">
        <v>1071.96</v>
      </c>
    </row>
    <row r="73" spans="1:6">
      <c r="A73" s="3">
        <v>2</v>
      </c>
      <c r="B73" s="3">
        <v>13</v>
      </c>
      <c r="C73" s="3" t="s">
        <v>115</v>
      </c>
      <c r="D73" s="3" t="s">
        <v>129</v>
      </c>
      <c r="E73" s="3" t="s">
        <v>138</v>
      </c>
      <c r="F73" s="7">
        <v>1073</v>
      </c>
    </row>
    <row r="74" spans="1:6">
      <c r="A74" s="3">
        <v>2</v>
      </c>
      <c r="B74" s="3">
        <v>13</v>
      </c>
      <c r="C74" s="3" t="s">
        <v>165</v>
      </c>
      <c r="D74" s="3" t="s">
        <v>123</v>
      </c>
      <c r="E74" s="3" t="s">
        <v>124</v>
      </c>
      <c r="F74" s="7">
        <v>1156.4000000000001</v>
      </c>
    </row>
    <row r="75" spans="1:6">
      <c r="A75" s="3">
        <v>2</v>
      </c>
      <c r="B75" s="3">
        <v>13</v>
      </c>
      <c r="C75" s="3" t="s">
        <v>165</v>
      </c>
      <c r="D75" s="3" t="s">
        <v>123</v>
      </c>
      <c r="E75" s="3" t="s">
        <v>124</v>
      </c>
      <c r="F75" s="7">
        <v>1156.4000000000001</v>
      </c>
    </row>
    <row r="76" spans="1:6">
      <c r="A76" s="3">
        <v>2</v>
      </c>
      <c r="B76" s="3">
        <v>14</v>
      </c>
      <c r="C76" s="3" t="s">
        <v>159</v>
      </c>
      <c r="D76" s="3" t="s">
        <v>116</v>
      </c>
      <c r="E76" s="3" t="s">
        <v>136</v>
      </c>
      <c r="F76" s="7">
        <v>1165</v>
      </c>
    </row>
    <row r="77" spans="1:6">
      <c r="A77" s="3">
        <v>2</v>
      </c>
      <c r="B77" s="3">
        <v>13</v>
      </c>
      <c r="C77" s="3" t="s">
        <v>115</v>
      </c>
      <c r="D77" s="3" t="s">
        <v>121</v>
      </c>
      <c r="E77" s="3" t="s">
        <v>144</v>
      </c>
      <c r="F77" s="7">
        <v>1430.66</v>
      </c>
    </row>
    <row r="78" spans="1:6">
      <c r="A78" s="3">
        <v>2</v>
      </c>
      <c r="B78" s="3">
        <v>13</v>
      </c>
      <c r="C78" s="3" t="s">
        <v>150</v>
      </c>
      <c r="D78" s="3" t="s">
        <v>116</v>
      </c>
      <c r="E78" s="3" t="s">
        <v>112</v>
      </c>
      <c r="F78" s="7">
        <v>1439</v>
      </c>
    </row>
    <row r="79" spans="1:6">
      <c r="A79" s="3">
        <v>2</v>
      </c>
      <c r="B79" s="3">
        <v>5</v>
      </c>
      <c r="C79" s="3" t="s">
        <v>152</v>
      </c>
      <c r="D79" s="3" t="s">
        <v>123</v>
      </c>
      <c r="E79" s="3" t="s">
        <v>124</v>
      </c>
      <c r="F79" s="7">
        <v>1638</v>
      </c>
    </row>
    <row r="80" spans="1:6">
      <c r="A80" s="3">
        <v>2</v>
      </c>
      <c r="B80" s="3">
        <v>13</v>
      </c>
      <c r="C80" s="3" t="s">
        <v>163</v>
      </c>
      <c r="D80" s="3" t="s">
        <v>123</v>
      </c>
      <c r="E80" s="3" t="s">
        <v>124</v>
      </c>
      <c r="F80" s="7">
        <v>1673</v>
      </c>
    </row>
    <row r="81" spans="1:6">
      <c r="A81" s="3">
        <v>2</v>
      </c>
      <c r="B81" s="3">
        <v>13</v>
      </c>
      <c r="C81" s="3" t="s">
        <v>162</v>
      </c>
      <c r="D81" s="3" t="s">
        <v>125</v>
      </c>
      <c r="E81" s="3" t="s">
        <v>135</v>
      </c>
      <c r="F81" s="7">
        <v>1840</v>
      </c>
    </row>
    <row r="82" spans="1:6">
      <c r="A82" s="3">
        <v>2</v>
      </c>
      <c r="B82" s="3">
        <v>13</v>
      </c>
      <c r="C82" s="3" t="s">
        <v>166</v>
      </c>
      <c r="D82" s="3" t="s">
        <v>123</v>
      </c>
      <c r="E82" s="3" t="s">
        <v>124</v>
      </c>
      <c r="F82" s="7">
        <v>1840.5</v>
      </c>
    </row>
    <row r="83" spans="1:6">
      <c r="A83" s="3">
        <v>2</v>
      </c>
      <c r="B83" s="3">
        <v>5</v>
      </c>
      <c r="C83" s="3" t="s">
        <v>152</v>
      </c>
      <c r="D83" s="3" t="s">
        <v>142</v>
      </c>
      <c r="E83" s="3" t="s">
        <v>126</v>
      </c>
      <c r="F83" s="7">
        <v>2300</v>
      </c>
    </row>
    <row r="84" spans="1:6">
      <c r="A84" s="3">
        <v>2</v>
      </c>
      <c r="B84" s="3">
        <v>14</v>
      </c>
      <c r="C84" s="3" t="s">
        <v>145</v>
      </c>
      <c r="D84" s="3" t="s">
        <v>123</v>
      </c>
      <c r="E84" s="3" t="s">
        <v>124</v>
      </c>
      <c r="F84" s="7">
        <v>2429.1</v>
      </c>
    </row>
    <row r="85" spans="1:6">
      <c r="A85" s="3">
        <v>2</v>
      </c>
      <c r="B85" s="3">
        <v>14</v>
      </c>
      <c r="C85" s="3" t="s">
        <v>159</v>
      </c>
      <c r="D85" s="3" t="s">
        <v>125</v>
      </c>
      <c r="E85" s="3" t="s">
        <v>135</v>
      </c>
      <c r="F85" s="7">
        <v>3347</v>
      </c>
    </row>
    <row r="86" spans="1:6">
      <c r="A86" s="3">
        <v>2</v>
      </c>
      <c r="B86" s="3">
        <v>12</v>
      </c>
      <c r="C86" s="3" t="s">
        <v>167</v>
      </c>
      <c r="D86" s="3" t="s">
        <v>142</v>
      </c>
      <c r="E86" s="3" t="s">
        <v>124</v>
      </c>
      <c r="F86" s="7">
        <v>3382.5</v>
      </c>
    </row>
    <row r="87" spans="1:6">
      <c r="A87" s="3">
        <v>2</v>
      </c>
      <c r="B87" s="3">
        <v>13</v>
      </c>
      <c r="C87" s="3" t="s">
        <v>143</v>
      </c>
      <c r="D87" s="3" t="s">
        <v>116</v>
      </c>
      <c r="E87" s="3" t="s">
        <v>147</v>
      </c>
      <c r="F87" s="7">
        <v>3600</v>
      </c>
    </row>
    <row r="88" spans="1:6">
      <c r="A88" s="3">
        <v>2</v>
      </c>
      <c r="B88" s="3">
        <v>7</v>
      </c>
      <c r="C88" s="3" t="s">
        <v>146</v>
      </c>
      <c r="D88" s="3" t="s">
        <v>142</v>
      </c>
      <c r="E88" s="3" t="s">
        <v>124</v>
      </c>
      <c r="F88" s="7">
        <v>9438.5</v>
      </c>
    </row>
    <row r="89" spans="1:6">
      <c r="A89" s="3">
        <v>2</v>
      </c>
      <c r="B89" s="3">
        <v>13</v>
      </c>
      <c r="C89" s="3" t="s">
        <v>115</v>
      </c>
      <c r="D89" s="3" t="s">
        <v>121</v>
      </c>
      <c r="E89" s="3" t="s">
        <v>149</v>
      </c>
      <c r="F89" s="7">
        <v>15783</v>
      </c>
    </row>
    <row r="90" spans="1:6">
      <c r="A90" s="3">
        <v>3</v>
      </c>
      <c r="B90" s="3">
        <v>27</v>
      </c>
      <c r="C90" s="3" t="s">
        <v>168</v>
      </c>
      <c r="D90" s="3" t="s">
        <v>111</v>
      </c>
      <c r="E90" s="3" t="s">
        <v>132</v>
      </c>
      <c r="F90" s="7">
        <v>13</v>
      </c>
    </row>
    <row r="91" spans="1:6">
      <c r="A91" s="3">
        <v>3</v>
      </c>
      <c r="B91" s="3">
        <v>27</v>
      </c>
      <c r="C91" s="3" t="s">
        <v>168</v>
      </c>
      <c r="D91" s="3" t="s">
        <v>116</v>
      </c>
      <c r="E91" s="3" t="s">
        <v>114</v>
      </c>
      <c r="F91" s="7">
        <v>32.799999999999997</v>
      </c>
    </row>
    <row r="92" spans="1:6">
      <c r="A92" s="3">
        <v>3</v>
      </c>
      <c r="B92" s="3">
        <v>27</v>
      </c>
      <c r="C92" s="3" t="s">
        <v>169</v>
      </c>
      <c r="D92" s="3" t="s">
        <v>116</v>
      </c>
      <c r="E92" s="3" t="s">
        <v>119</v>
      </c>
      <c r="F92" s="7">
        <v>45</v>
      </c>
    </row>
    <row r="93" spans="1:6">
      <c r="A93" s="3">
        <v>3</v>
      </c>
      <c r="B93" s="3">
        <v>29</v>
      </c>
      <c r="C93" s="3" t="s">
        <v>170</v>
      </c>
      <c r="D93" s="3" t="s">
        <v>116</v>
      </c>
      <c r="E93" s="3" t="s">
        <v>112</v>
      </c>
      <c r="F93" s="7">
        <v>60</v>
      </c>
    </row>
    <row r="94" spans="1:6">
      <c r="A94" s="3">
        <v>3</v>
      </c>
      <c r="B94" s="3">
        <v>21</v>
      </c>
      <c r="C94" s="3" t="s">
        <v>159</v>
      </c>
      <c r="D94" s="3" t="s">
        <v>121</v>
      </c>
      <c r="E94" s="3" t="s">
        <v>122</v>
      </c>
      <c r="F94" s="7">
        <v>65</v>
      </c>
    </row>
    <row r="95" spans="1:6">
      <c r="A95" s="3">
        <v>3</v>
      </c>
      <c r="B95" s="3">
        <v>21</v>
      </c>
      <c r="C95" s="3" t="s">
        <v>143</v>
      </c>
      <c r="D95" s="3" t="s">
        <v>116</v>
      </c>
      <c r="E95" s="3" t="s">
        <v>118</v>
      </c>
      <c r="F95" s="7">
        <v>70</v>
      </c>
    </row>
    <row r="96" spans="1:6">
      <c r="A96" s="3">
        <v>3</v>
      </c>
      <c r="B96" s="3">
        <v>29</v>
      </c>
      <c r="C96" s="3" t="s">
        <v>170</v>
      </c>
      <c r="D96" s="3" t="s">
        <v>116</v>
      </c>
      <c r="E96" s="3" t="s">
        <v>114</v>
      </c>
      <c r="F96" s="7">
        <v>73.2</v>
      </c>
    </row>
    <row r="97" spans="1:6">
      <c r="A97" s="3">
        <v>3</v>
      </c>
      <c r="B97" s="3">
        <v>23</v>
      </c>
      <c r="C97" s="3" t="s">
        <v>171</v>
      </c>
      <c r="D97" s="3" t="s">
        <v>116</v>
      </c>
      <c r="E97" s="3" t="s">
        <v>118</v>
      </c>
      <c r="F97" s="7">
        <v>80</v>
      </c>
    </row>
    <row r="98" spans="1:6">
      <c r="A98" s="3">
        <v>3</v>
      </c>
      <c r="B98" s="3">
        <v>29</v>
      </c>
      <c r="C98" s="3" t="s">
        <v>170</v>
      </c>
      <c r="D98" s="3" t="s">
        <v>116</v>
      </c>
      <c r="E98" s="3" t="s">
        <v>112</v>
      </c>
      <c r="F98" s="7">
        <v>94</v>
      </c>
    </row>
    <row r="99" spans="1:6">
      <c r="A99" s="3">
        <v>3</v>
      </c>
      <c r="B99" s="3">
        <v>9</v>
      </c>
      <c r="C99" s="3" t="s">
        <v>146</v>
      </c>
      <c r="D99" s="3" t="s">
        <v>125</v>
      </c>
      <c r="E99" s="3" t="s">
        <v>126</v>
      </c>
      <c r="F99" s="7">
        <v>100</v>
      </c>
    </row>
    <row r="100" spans="1:6">
      <c r="A100" s="3">
        <v>3</v>
      </c>
      <c r="B100" s="3">
        <v>27</v>
      </c>
      <c r="C100" s="3" t="s">
        <v>172</v>
      </c>
      <c r="D100" s="3" t="s">
        <v>116</v>
      </c>
      <c r="E100" s="3" t="s">
        <v>136</v>
      </c>
      <c r="F100" s="7">
        <v>100</v>
      </c>
    </row>
    <row r="101" spans="1:6">
      <c r="A101" s="3">
        <v>3</v>
      </c>
      <c r="B101" s="3">
        <v>21</v>
      </c>
      <c r="C101" s="3" t="s">
        <v>127</v>
      </c>
      <c r="D101" s="3" t="s">
        <v>116</v>
      </c>
      <c r="E101" s="3" t="s">
        <v>132</v>
      </c>
      <c r="F101" s="7">
        <v>112</v>
      </c>
    </row>
    <row r="102" spans="1:6">
      <c r="A102" s="3">
        <v>3</v>
      </c>
      <c r="B102" s="3">
        <v>9</v>
      </c>
      <c r="C102" s="3" t="s">
        <v>146</v>
      </c>
      <c r="D102" s="3" t="s">
        <v>116</v>
      </c>
      <c r="E102" s="3" t="s">
        <v>112</v>
      </c>
      <c r="F102" s="7">
        <v>122</v>
      </c>
    </row>
    <row r="103" spans="1:6">
      <c r="A103" s="3">
        <v>3</v>
      </c>
      <c r="B103" s="3">
        <v>15</v>
      </c>
      <c r="C103" s="3" t="s">
        <v>166</v>
      </c>
      <c r="D103" s="3" t="s">
        <v>116</v>
      </c>
      <c r="E103" s="3" t="s">
        <v>136</v>
      </c>
      <c r="F103" s="7">
        <v>130</v>
      </c>
    </row>
    <row r="104" spans="1:6">
      <c r="A104" s="3">
        <v>3</v>
      </c>
      <c r="B104" s="3">
        <v>21</v>
      </c>
      <c r="C104" s="3" t="s">
        <v>159</v>
      </c>
      <c r="D104" s="3" t="s">
        <v>116</v>
      </c>
      <c r="E104" s="3" t="s">
        <v>128</v>
      </c>
      <c r="F104" s="7">
        <v>180</v>
      </c>
    </row>
    <row r="105" spans="1:6">
      <c r="A105" s="3">
        <v>3</v>
      </c>
      <c r="B105" s="3">
        <v>23</v>
      </c>
      <c r="C105" s="3" t="s">
        <v>173</v>
      </c>
      <c r="D105" s="3" t="s">
        <v>125</v>
      </c>
      <c r="E105" s="3" t="s">
        <v>126</v>
      </c>
      <c r="F105" s="7">
        <v>200</v>
      </c>
    </row>
    <row r="106" spans="1:6">
      <c r="A106" s="3">
        <v>3</v>
      </c>
      <c r="B106" s="3">
        <v>29</v>
      </c>
      <c r="C106" s="3" t="s">
        <v>170</v>
      </c>
      <c r="D106" s="3" t="s">
        <v>125</v>
      </c>
      <c r="E106" s="3" t="s">
        <v>126</v>
      </c>
      <c r="F106" s="7">
        <v>200</v>
      </c>
    </row>
    <row r="107" spans="1:6">
      <c r="A107" s="3">
        <v>3</v>
      </c>
      <c r="B107" s="3">
        <v>23</v>
      </c>
      <c r="C107" s="3" t="s">
        <v>171</v>
      </c>
      <c r="D107" s="3" t="s">
        <v>116</v>
      </c>
      <c r="E107" s="3" t="s">
        <v>136</v>
      </c>
      <c r="F107" s="7">
        <v>200</v>
      </c>
    </row>
    <row r="108" spans="1:6">
      <c r="A108" s="3">
        <v>3</v>
      </c>
      <c r="B108" s="3">
        <v>21</v>
      </c>
      <c r="C108" s="3" t="s">
        <v>127</v>
      </c>
      <c r="D108" s="3" t="s">
        <v>116</v>
      </c>
      <c r="E108" s="3" t="s">
        <v>114</v>
      </c>
      <c r="F108" s="7">
        <v>203.6</v>
      </c>
    </row>
    <row r="109" spans="1:6">
      <c r="A109" s="3">
        <v>3</v>
      </c>
      <c r="B109" s="3">
        <v>27</v>
      </c>
      <c r="C109" s="3" t="s">
        <v>169</v>
      </c>
      <c r="D109" s="3" t="s">
        <v>125</v>
      </c>
      <c r="E109" s="3" t="s">
        <v>135</v>
      </c>
      <c r="F109" s="7">
        <v>230</v>
      </c>
    </row>
    <row r="110" spans="1:6">
      <c r="A110" s="3">
        <v>3</v>
      </c>
      <c r="B110" s="3">
        <v>29</v>
      </c>
      <c r="C110" s="3" t="s">
        <v>170</v>
      </c>
      <c r="D110" s="3" t="s">
        <v>116</v>
      </c>
      <c r="E110" s="3" t="s">
        <v>132</v>
      </c>
      <c r="F110" s="7">
        <v>240</v>
      </c>
    </row>
    <row r="111" spans="1:6">
      <c r="A111" s="3">
        <v>3</v>
      </c>
      <c r="B111" s="3">
        <v>9</v>
      </c>
      <c r="C111" s="3" t="s">
        <v>154</v>
      </c>
      <c r="D111" s="3" t="s">
        <v>123</v>
      </c>
      <c r="E111" s="3" t="s">
        <v>126</v>
      </c>
      <c r="F111" s="7">
        <v>300</v>
      </c>
    </row>
    <row r="112" spans="1:6">
      <c r="A112" s="3">
        <v>3</v>
      </c>
      <c r="B112" s="3">
        <v>27</v>
      </c>
      <c r="C112" s="3" t="s">
        <v>168</v>
      </c>
      <c r="D112" s="3" t="s">
        <v>116</v>
      </c>
      <c r="E112" s="3" t="s">
        <v>119</v>
      </c>
      <c r="F112" s="7">
        <v>300</v>
      </c>
    </row>
    <row r="113" spans="1:6">
      <c r="A113" s="3">
        <v>3</v>
      </c>
      <c r="B113" s="3">
        <v>29</v>
      </c>
      <c r="C113" s="3" t="s">
        <v>170</v>
      </c>
      <c r="D113" s="3" t="s">
        <v>116</v>
      </c>
      <c r="E113" s="3" t="s">
        <v>114</v>
      </c>
      <c r="F113" s="7">
        <v>304.89999999999998</v>
      </c>
    </row>
    <row r="114" spans="1:6">
      <c r="A114" s="3">
        <v>3</v>
      </c>
      <c r="B114" s="3">
        <v>21</v>
      </c>
      <c r="C114" s="3" t="s">
        <v>159</v>
      </c>
      <c r="D114" s="3" t="s">
        <v>121</v>
      </c>
      <c r="E114" s="3" t="s">
        <v>133</v>
      </c>
      <c r="F114" s="7">
        <v>304.92</v>
      </c>
    </row>
    <row r="115" spans="1:6">
      <c r="A115" s="3">
        <v>3</v>
      </c>
      <c r="B115" s="3">
        <v>27</v>
      </c>
      <c r="C115" s="3" t="s">
        <v>168</v>
      </c>
      <c r="D115" s="3" t="s">
        <v>116</v>
      </c>
      <c r="E115" s="3" t="s">
        <v>118</v>
      </c>
      <c r="F115" s="7">
        <v>345</v>
      </c>
    </row>
    <row r="116" spans="1:6">
      <c r="A116" s="3">
        <v>3</v>
      </c>
      <c r="B116" s="3">
        <v>23</v>
      </c>
      <c r="C116" s="3" t="s">
        <v>174</v>
      </c>
      <c r="D116" s="3" t="s">
        <v>129</v>
      </c>
      <c r="E116" s="3" t="s">
        <v>138</v>
      </c>
      <c r="F116" s="7">
        <v>351</v>
      </c>
    </row>
    <row r="117" spans="1:6">
      <c r="A117" s="3">
        <v>3</v>
      </c>
      <c r="B117" s="3">
        <v>27</v>
      </c>
      <c r="C117" s="3" t="s">
        <v>175</v>
      </c>
      <c r="D117" s="3" t="s">
        <v>116</v>
      </c>
      <c r="E117" s="3" t="s">
        <v>114</v>
      </c>
      <c r="F117" s="7">
        <v>384.7</v>
      </c>
    </row>
    <row r="118" spans="1:6">
      <c r="A118" s="3">
        <v>3</v>
      </c>
      <c r="B118" s="3">
        <v>29</v>
      </c>
      <c r="C118" s="3" t="s">
        <v>170</v>
      </c>
      <c r="D118" s="3" t="s">
        <v>123</v>
      </c>
      <c r="E118" s="3" t="s">
        <v>126</v>
      </c>
      <c r="F118" s="7">
        <v>400</v>
      </c>
    </row>
    <row r="119" spans="1:6">
      <c r="A119" s="3">
        <v>3</v>
      </c>
      <c r="B119" s="3">
        <v>9</v>
      </c>
      <c r="C119" s="3" t="s">
        <v>154</v>
      </c>
      <c r="D119" s="3" t="s">
        <v>116</v>
      </c>
      <c r="E119" s="3" t="s">
        <v>136</v>
      </c>
      <c r="F119" s="7">
        <v>420</v>
      </c>
    </row>
    <row r="120" spans="1:6">
      <c r="A120" s="3">
        <v>3</v>
      </c>
      <c r="B120" s="3">
        <v>21</v>
      </c>
      <c r="C120" s="3" t="s">
        <v>143</v>
      </c>
      <c r="D120" s="3" t="s">
        <v>116</v>
      </c>
      <c r="E120" s="3" t="s">
        <v>136</v>
      </c>
      <c r="F120" s="7">
        <v>460</v>
      </c>
    </row>
    <row r="121" spans="1:6">
      <c r="A121" s="3">
        <v>3</v>
      </c>
      <c r="B121" s="3">
        <v>23</v>
      </c>
      <c r="C121" s="3" t="s">
        <v>174</v>
      </c>
      <c r="D121" s="3" t="s">
        <v>121</v>
      </c>
      <c r="E121" s="3" t="s">
        <v>144</v>
      </c>
      <c r="F121" s="7">
        <v>468</v>
      </c>
    </row>
    <row r="122" spans="1:6">
      <c r="A122" s="3">
        <v>3</v>
      </c>
      <c r="B122" s="3">
        <v>1</v>
      </c>
      <c r="C122" s="3" t="s">
        <v>156</v>
      </c>
      <c r="D122" s="3" t="s">
        <v>116</v>
      </c>
      <c r="E122" s="3" t="s">
        <v>112</v>
      </c>
      <c r="F122" s="7">
        <v>497</v>
      </c>
    </row>
    <row r="123" spans="1:6">
      <c r="A123" s="3">
        <v>3</v>
      </c>
      <c r="B123" s="3">
        <v>15</v>
      </c>
      <c r="C123" s="3" t="s">
        <v>166</v>
      </c>
      <c r="D123" s="3" t="s">
        <v>123</v>
      </c>
      <c r="E123" s="3" t="s">
        <v>126</v>
      </c>
      <c r="F123" s="7">
        <v>500</v>
      </c>
    </row>
    <row r="124" spans="1:6">
      <c r="A124" s="3">
        <v>3</v>
      </c>
      <c r="B124" s="3">
        <v>27</v>
      </c>
      <c r="C124" s="3" t="s">
        <v>172</v>
      </c>
      <c r="D124" s="3" t="s">
        <v>123</v>
      </c>
      <c r="E124" s="3" t="s">
        <v>126</v>
      </c>
      <c r="F124" s="7">
        <v>500</v>
      </c>
    </row>
    <row r="125" spans="1:6">
      <c r="A125" s="3">
        <v>3</v>
      </c>
      <c r="B125" s="3">
        <v>9</v>
      </c>
      <c r="C125" s="3" t="s">
        <v>154</v>
      </c>
      <c r="D125" s="3" t="s">
        <v>125</v>
      </c>
      <c r="E125" s="3" t="s">
        <v>135</v>
      </c>
      <c r="F125" s="7">
        <v>555</v>
      </c>
    </row>
    <row r="126" spans="1:6">
      <c r="A126" s="3">
        <v>3</v>
      </c>
      <c r="B126" s="3">
        <v>27</v>
      </c>
      <c r="C126" s="3" t="s">
        <v>168</v>
      </c>
      <c r="D126" s="3" t="s">
        <v>116</v>
      </c>
      <c r="E126" s="3" t="s">
        <v>136</v>
      </c>
      <c r="F126" s="7">
        <v>590</v>
      </c>
    </row>
    <row r="127" spans="1:6">
      <c r="A127" s="3">
        <v>3</v>
      </c>
      <c r="B127" s="3">
        <v>14</v>
      </c>
      <c r="C127" s="3" t="s">
        <v>176</v>
      </c>
      <c r="D127" s="3" t="s">
        <v>116</v>
      </c>
      <c r="E127" s="3" t="s">
        <v>132</v>
      </c>
      <c r="F127" s="7">
        <v>700</v>
      </c>
    </row>
    <row r="128" spans="1:6">
      <c r="A128" s="3">
        <v>3</v>
      </c>
      <c r="B128" s="3">
        <v>27</v>
      </c>
      <c r="C128" s="3" t="s">
        <v>177</v>
      </c>
      <c r="D128" s="3" t="s">
        <v>125</v>
      </c>
      <c r="E128" s="3" t="s">
        <v>135</v>
      </c>
      <c r="F128" s="7">
        <v>720</v>
      </c>
    </row>
    <row r="129" spans="1:6">
      <c r="A129" s="3">
        <v>3</v>
      </c>
      <c r="B129" s="3">
        <v>13</v>
      </c>
      <c r="C129" s="3" t="s">
        <v>153</v>
      </c>
      <c r="D129" s="3" t="s">
        <v>142</v>
      </c>
      <c r="E129" s="3" t="s">
        <v>178</v>
      </c>
      <c r="F129" s="7">
        <v>750</v>
      </c>
    </row>
    <row r="130" spans="1:6">
      <c r="A130" s="3">
        <v>3</v>
      </c>
      <c r="B130" s="3">
        <v>29</v>
      </c>
      <c r="C130" s="3" t="s">
        <v>170</v>
      </c>
      <c r="D130" s="3" t="s">
        <v>125</v>
      </c>
      <c r="E130" s="3" t="s">
        <v>135</v>
      </c>
      <c r="F130" s="7">
        <v>762</v>
      </c>
    </row>
    <row r="131" spans="1:6">
      <c r="A131" s="3">
        <v>3</v>
      </c>
      <c r="B131" s="3">
        <v>21</v>
      </c>
      <c r="C131" s="3" t="s">
        <v>127</v>
      </c>
      <c r="D131" s="3" t="s">
        <v>125</v>
      </c>
      <c r="E131" s="3" t="s">
        <v>135</v>
      </c>
      <c r="F131" s="7">
        <v>778</v>
      </c>
    </row>
    <row r="132" spans="1:6">
      <c r="A132" s="3">
        <v>3</v>
      </c>
      <c r="B132" s="3">
        <v>23</v>
      </c>
      <c r="C132" s="3" t="s">
        <v>173</v>
      </c>
      <c r="D132" s="3" t="s">
        <v>123</v>
      </c>
      <c r="E132" s="3" t="s">
        <v>124</v>
      </c>
      <c r="F132" s="7">
        <v>841</v>
      </c>
    </row>
    <row r="133" spans="1:6">
      <c r="A133" s="3">
        <v>3</v>
      </c>
      <c r="B133" s="3">
        <v>9</v>
      </c>
      <c r="C133" s="3" t="s">
        <v>146</v>
      </c>
      <c r="D133" s="3" t="s">
        <v>125</v>
      </c>
      <c r="E133" s="3" t="s">
        <v>135</v>
      </c>
      <c r="F133" s="7">
        <v>871.9</v>
      </c>
    </row>
    <row r="134" spans="1:6">
      <c r="A134" s="3">
        <v>3</v>
      </c>
      <c r="B134" s="3">
        <v>21</v>
      </c>
      <c r="C134" s="3" t="s">
        <v>159</v>
      </c>
      <c r="D134" s="3" t="s">
        <v>121</v>
      </c>
      <c r="E134" s="3" t="s">
        <v>137</v>
      </c>
      <c r="F134" s="7">
        <v>935</v>
      </c>
    </row>
    <row r="135" spans="1:6">
      <c r="A135" s="3">
        <v>3</v>
      </c>
      <c r="B135" s="3">
        <v>16</v>
      </c>
      <c r="C135" s="3" t="s">
        <v>110</v>
      </c>
      <c r="D135" s="3" t="s">
        <v>129</v>
      </c>
      <c r="E135" s="3" t="s">
        <v>138</v>
      </c>
      <c r="F135" s="7">
        <v>936.51</v>
      </c>
    </row>
    <row r="136" spans="1:6">
      <c r="A136" s="3">
        <v>3</v>
      </c>
      <c r="B136" s="3">
        <v>23</v>
      </c>
      <c r="C136" s="3" t="s">
        <v>173</v>
      </c>
      <c r="D136" s="3" t="s">
        <v>116</v>
      </c>
      <c r="E136" s="3" t="s">
        <v>136</v>
      </c>
      <c r="F136" s="7">
        <v>940</v>
      </c>
    </row>
    <row r="137" spans="1:6">
      <c r="A137" s="3">
        <v>3</v>
      </c>
      <c r="B137" s="3">
        <v>21</v>
      </c>
      <c r="C137" s="3" t="s">
        <v>143</v>
      </c>
      <c r="D137" s="3" t="s">
        <v>142</v>
      </c>
      <c r="E137" s="3" t="s">
        <v>126</v>
      </c>
      <c r="F137" s="7">
        <v>1000</v>
      </c>
    </row>
    <row r="138" spans="1:6">
      <c r="A138" s="3">
        <v>3</v>
      </c>
      <c r="B138" s="3">
        <v>21</v>
      </c>
      <c r="C138" s="3" t="s">
        <v>143</v>
      </c>
      <c r="D138" s="3" t="s">
        <v>142</v>
      </c>
      <c r="E138" s="3" t="s">
        <v>126</v>
      </c>
      <c r="F138" s="7">
        <v>1000</v>
      </c>
    </row>
    <row r="139" spans="1:6">
      <c r="A139" s="3">
        <v>3</v>
      </c>
      <c r="B139" s="3">
        <v>27</v>
      </c>
      <c r="C139" s="3" t="s">
        <v>169</v>
      </c>
      <c r="D139" s="3" t="s">
        <v>142</v>
      </c>
      <c r="E139" s="3" t="s">
        <v>126</v>
      </c>
      <c r="F139" s="7">
        <v>1000</v>
      </c>
    </row>
    <row r="140" spans="1:6">
      <c r="A140" s="3">
        <v>3</v>
      </c>
      <c r="B140" s="3">
        <v>27</v>
      </c>
      <c r="C140" s="3" t="s">
        <v>168</v>
      </c>
      <c r="D140" s="3" t="s">
        <v>142</v>
      </c>
      <c r="E140" s="3" t="s">
        <v>126</v>
      </c>
      <c r="F140" s="7">
        <v>1000</v>
      </c>
    </row>
    <row r="141" spans="1:6">
      <c r="A141" s="3">
        <v>3</v>
      </c>
      <c r="B141" s="3">
        <v>23</v>
      </c>
      <c r="C141" s="3" t="s">
        <v>173</v>
      </c>
      <c r="D141" s="3" t="s">
        <v>116</v>
      </c>
      <c r="E141" s="3" t="s">
        <v>118</v>
      </c>
      <c r="F141" s="7">
        <v>1030</v>
      </c>
    </row>
    <row r="142" spans="1:6">
      <c r="A142" s="3">
        <v>3</v>
      </c>
      <c r="B142" s="3">
        <v>21</v>
      </c>
      <c r="C142" s="3" t="s">
        <v>159</v>
      </c>
      <c r="D142" s="3" t="s">
        <v>129</v>
      </c>
      <c r="E142" s="3" t="s">
        <v>139</v>
      </c>
      <c r="F142" s="7">
        <v>1058</v>
      </c>
    </row>
    <row r="143" spans="1:6">
      <c r="A143" s="3">
        <v>3</v>
      </c>
      <c r="B143" s="3">
        <v>21</v>
      </c>
      <c r="C143" s="3" t="s">
        <v>159</v>
      </c>
      <c r="D143" s="3" t="s">
        <v>129</v>
      </c>
      <c r="E143" s="3" t="s">
        <v>138</v>
      </c>
      <c r="F143" s="7">
        <v>1069.55</v>
      </c>
    </row>
    <row r="144" spans="1:6">
      <c r="A144" s="3">
        <v>3</v>
      </c>
      <c r="B144" s="3">
        <v>9</v>
      </c>
      <c r="C144" s="3" t="s">
        <v>146</v>
      </c>
      <c r="D144" s="3" t="s">
        <v>142</v>
      </c>
      <c r="E144" s="3" t="s">
        <v>126</v>
      </c>
      <c r="F144" s="7">
        <v>1151.08</v>
      </c>
    </row>
    <row r="145" spans="1:6">
      <c r="A145" s="3">
        <v>3</v>
      </c>
      <c r="B145" s="3">
        <v>29</v>
      </c>
      <c r="C145" s="3" t="s">
        <v>179</v>
      </c>
      <c r="D145" s="3" t="s">
        <v>125</v>
      </c>
      <c r="E145" s="3" t="s">
        <v>135</v>
      </c>
      <c r="F145" s="7">
        <v>1170</v>
      </c>
    </row>
    <row r="146" spans="1:6">
      <c r="A146" s="3">
        <v>3</v>
      </c>
      <c r="B146" s="3">
        <v>21</v>
      </c>
      <c r="C146" s="3" t="s">
        <v>161</v>
      </c>
      <c r="D146" s="3" t="s">
        <v>129</v>
      </c>
      <c r="E146" s="3" t="s">
        <v>138</v>
      </c>
      <c r="F146" s="7">
        <v>1230</v>
      </c>
    </row>
    <row r="147" spans="1:6">
      <c r="A147" s="3">
        <v>3</v>
      </c>
      <c r="B147" s="3">
        <v>16</v>
      </c>
      <c r="C147" s="3" t="s">
        <v>110</v>
      </c>
      <c r="D147" s="3" t="s">
        <v>121</v>
      </c>
      <c r="E147" s="3" t="s">
        <v>144</v>
      </c>
      <c r="F147" s="7">
        <v>1248.68</v>
      </c>
    </row>
    <row r="148" spans="1:6">
      <c r="A148" s="3">
        <v>3</v>
      </c>
      <c r="B148" s="3">
        <v>23</v>
      </c>
      <c r="C148" s="3" t="s">
        <v>131</v>
      </c>
      <c r="D148" s="3" t="s">
        <v>123</v>
      </c>
      <c r="E148" s="3" t="s">
        <v>124</v>
      </c>
      <c r="F148" s="7">
        <v>1384.9</v>
      </c>
    </row>
    <row r="149" spans="1:6">
      <c r="A149" s="3">
        <v>3</v>
      </c>
      <c r="B149" s="3">
        <v>21</v>
      </c>
      <c r="C149" s="3" t="s">
        <v>159</v>
      </c>
      <c r="D149" s="3" t="s">
        <v>121</v>
      </c>
      <c r="E149" s="3" t="s">
        <v>144</v>
      </c>
      <c r="F149" s="7">
        <v>1426.06</v>
      </c>
    </row>
    <row r="150" spans="1:6">
      <c r="A150" s="3">
        <v>3</v>
      </c>
      <c r="B150" s="3">
        <v>29</v>
      </c>
      <c r="C150" s="3" t="s">
        <v>180</v>
      </c>
      <c r="D150" s="3" t="s">
        <v>123</v>
      </c>
      <c r="E150" s="3" t="s">
        <v>124</v>
      </c>
      <c r="F150" s="7">
        <v>1588.9</v>
      </c>
    </row>
    <row r="151" spans="1:6">
      <c r="A151" s="3">
        <v>3</v>
      </c>
      <c r="B151" s="3">
        <v>1</v>
      </c>
      <c r="C151" s="3" t="s">
        <v>156</v>
      </c>
      <c r="D151" s="3" t="s">
        <v>123</v>
      </c>
      <c r="E151" s="3" t="s">
        <v>124</v>
      </c>
      <c r="F151" s="7">
        <v>1599.8</v>
      </c>
    </row>
    <row r="152" spans="1:6">
      <c r="A152" s="3">
        <v>3</v>
      </c>
      <c r="B152" s="3">
        <v>27</v>
      </c>
      <c r="C152" s="3" t="s">
        <v>181</v>
      </c>
      <c r="D152" s="3" t="s">
        <v>123</v>
      </c>
      <c r="E152" s="3" t="s">
        <v>124</v>
      </c>
      <c r="F152" s="7">
        <v>1625.1</v>
      </c>
    </row>
    <row r="153" spans="1:6">
      <c r="A153" s="3">
        <v>3</v>
      </c>
      <c r="B153" s="3">
        <v>21</v>
      </c>
      <c r="C153" s="3" t="s">
        <v>161</v>
      </c>
      <c r="D153" s="3" t="s">
        <v>121</v>
      </c>
      <c r="E153" s="3" t="s">
        <v>144</v>
      </c>
      <c r="F153" s="7">
        <v>1640</v>
      </c>
    </row>
    <row r="154" spans="1:6">
      <c r="A154" s="3">
        <v>3</v>
      </c>
      <c r="B154" s="3">
        <v>27</v>
      </c>
      <c r="C154" s="3" t="s">
        <v>175</v>
      </c>
      <c r="D154" s="3" t="s">
        <v>116</v>
      </c>
      <c r="E154" s="3" t="s">
        <v>132</v>
      </c>
      <c r="F154" s="7">
        <v>1643</v>
      </c>
    </row>
    <row r="155" spans="1:6">
      <c r="A155" s="3">
        <v>3</v>
      </c>
      <c r="B155" s="3">
        <v>27</v>
      </c>
      <c r="C155" s="3" t="s">
        <v>175</v>
      </c>
      <c r="D155" s="3" t="s">
        <v>116</v>
      </c>
      <c r="E155" s="3" t="s">
        <v>132</v>
      </c>
      <c r="F155" s="7">
        <v>1989.5</v>
      </c>
    </row>
    <row r="156" spans="1:6">
      <c r="A156" s="3">
        <v>3</v>
      </c>
      <c r="B156" s="3">
        <v>27</v>
      </c>
      <c r="C156" s="3" t="s">
        <v>168</v>
      </c>
      <c r="D156" s="3" t="s">
        <v>125</v>
      </c>
      <c r="E156" s="3" t="s">
        <v>135</v>
      </c>
      <c r="F156" s="7">
        <v>2032</v>
      </c>
    </row>
    <row r="157" spans="1:6">
      <c r="A157" s="3">
        <v>3</v>
      </c>
      <c r="B157" s="3">
        <v>9</v>
      </c>
      <c r="C157" s="3" t="s">
        <v>154</v>
      </c>
      <c r="D157" s="3" t="s">
        <v>125</v>
      </c>
      <c r="E157" s="3" t="s">
        <v>135</v>
      </c>
      <c r="F157" s="7">
        <v>2500</v>
      </c>
    </row>
    <row r="158" spans="1:6">
      <c r="A158" s="3">
        <v>3</v>
      </c>
      <c r="B158" s="3">
        <v>14</v>
      </c>
      <c r="C158" s="3" t="s">
        <v>176</v>
      </c>
      <c r="D158" s="3" t="s">
        <v>125</v>
      </c>
      <c r="E158" s="3" t="s">
        <v>135</v>
      </c>
      <c r="F158" s="7">
        <v>2825.7</v>
      </c>
    </row>
    <row r="159" spans="1:6">
      <c r="A159" s="3">
        <v>3</v>
      </c>
      <c r="B159" s="3">
        <v>27</v>
      </c>
      <c r="C159" s="3" t="s">
        <v>182</v>
      </c>
      <c r="D159" s="3" t="s">
        <v>142</v>
      </c>
      <c r="E159" s="3" t="s">
        <v>124</v>
      </c>
      <c r="F159" s="7">
        <v>3014.9</v>
      </c>
    </row>
    <row r="160" spans="1:6">
      <c r="A160" s="3">
        <v>3</v>
      </c>
      <c r="B160" s="3">
        <v>12</v>
      </c>
      <c r="C160" s="3" t="s">
        <v>183</v>
      </c>
      <c r="D160" s="3" t="s">
        <v>116</v>
      </c>
      <c r="E160" s="3" t="s">
        <v>147</v>
      </c>
      <c r="F160" s="7">
        <v>3600</v>
      </c>
    </row>
    <row r="161" spans="1:6">
      <c r="A161" s="3">
        <v>3</v>
      </c>
      <c r="B161" s="3">
        <v>29</v>
      </c>
      <c r="C161" s="3" t="s">
        <v>170</v>
      </c>
      <c r="D161" s="3" t="s">
        <v>142</v>
      </c>
      <c r="E161" s="3" t="s">
        <v>124</v>
      </c>
      <c r="F161" s="7">
        <v>3902.5</v>
      </c>
    </row>
    <row r="162" spans="1:6">
      <c r="A162" s="3">
        <v>3</v>
      </c>
      <c r="B162" s="3">
        <v>1</v>
      </c>
      <c r="C162" s="3" t="s">
        <v>156</v>
      </c>
      <c r="D162" s="3" t="s">
        <v>142</v>
      </c>
      <c r="E162" s="3" t="s">
        <v>124</v>
      </c>
      <c r="F162" s="7">
        <v>4521.6000000000004</v>
      </c>
    </row>
    <row r="163" spans="1:6">
      <c r="A163" s="3">
        <v>3</v>
      </c>
      <c r="B163" s="3">
        <v>27</v>
      </c>
      <c r="C163" s="3" t="s">
        <v>175</v>
      </c>
      <c r="D163" s="3" t="s">
        <v>125</v>
      </c>
      <c r="E163" s="3" t="s">
        <v>135</v>
      </c>
      <c r="F163" s="7">
        <v>4546.7</v>
      </c>
    </row>
    <row r="164" spans="1:6">
      <c r="A164" s="3">
        <v>3</v>
      </c>
      <c r="B164" s="3">
        <v>29</v>
      </c>
      <c r="C164" s="3" t="s">
        <v>179</v>
      </c>
      <c r="D164" s="3" t="s">
        <v>142</v>
      </c>
      <c r="E164" s="3" t="s">
        <v>124</v>
      </c>
      <c r="F164" s="7">
        <v>5149</v>
      </c>
    </row>
    <row r="165" spans="1:6">
      <c r="A165" s="3">
        <v>3</v>
      </c>
      <c r="B165" s="3">
        <v>8</v>
      </c>
      <c r="C165" s="3" t="s">
        <v>184</v>
      </c>
      <c r="D165" s="3" t="s">
        <v>142</v>
      </c>
      <c r="E165" s="3" t="s">
        <v>124</v>
      </c>
      <c r="F165" s="7">
        <v>6447.5</v>
      </c>
    </row>
    <row r="166" spans="1:6">
      <c r="A166" s="3">
        <v>3</v>
      </c>
      <c r="B166" s="3">
        <v>27</v>
      </c>
      <c r="C166" s="3" t="s">
        <v>185</v>
      </c>
      <c r="D166" s="3" t="s">
        <v>111</v>
      </c>
      <c r="E166" s="3" t="s">
        <v>151</v>
      </c>
      <c r="F166" s="7">
        <v>8915.91</v>
      </c>
    </row>
    <row r="167" spans="1:6">
      <c r="A167" s="3">
        <v>3</v>
      </c>
      <c r="B167" s="3">
        <v>29</v>
      </c>
      <c r="C167" s="3" t="s">
        <v>179</v>
      </c>
      <c r="D167" s="3" t="s">
        <v>111</v>
      </c>
      <c r="E167" s="3" t="s">
        <v>157</v>
      </c>
      <c r="F167" s="7">
        <v>9000</v>
      </c>
    </row>
    <row r="168" spans="1:6">
      <c r="A168" s="3">
        <v>3</v>
      </c>
      <c r="B168" s="3">
        <v>28</v>
      </c>
      <c r="C168" s="3" t="s">
        <v>186</v>
      </c>
      <c r="D168" s="3" t="s">
        <v>111</v>
      </c>
      <c r="E168" s="3" t="s">
        <v>187</v>
      </c>
      <c r="F168" s="7">
        <v>14097.66</v>
      </c>
    </row>
    <row r="169" spans="1:6">
      <c r="A169" s="3">
        <v>3</v>
      </c>
      <c r="B169" s="3">
        <v>21</v>
      </c>
      <c r="C169" s="3" t="s">
        <v>159</v>
      </c>
      <c r="D169" s="3" t="s">
        <v>121</v>
      </c>
      <c r="E169" s="3" t="s">
        <v>149</v>
      </c>
      <c r="F169" s="7">
        <v>15783</v>
      </c>
    </row>
    <row r="170" spans="1:6">
      <c r="A170" s="3">
        <v>3</v>
      </c>
      <c r="B170" s="3">
        <v>9</v>
      </c>
      <c r="C170" s="3" t="s">
        <v>120</v>
      </c>
      <c r="D170" s="3" t="s">
        <v>123</v>
      </c>
      <c r="E170" s="3" t="s">
        <v>188</v>
      </c>
      <c r="F170" s="7">
        <v>31575.22</v>
      </c>
    </row>
    <row r="171" spans="1:6">
      <c r="A171" s="3">
        <v>4</v>
      </c>
      <c r="B171" s="3">
        <v>24</v>
      </c>
      <c r="C171" s="3" t="s">
        <v>145</v>
      </c>
      <c r="D171" s="3" t="s">
        <v>116</v>
      </c>
      <c r="E171" s="3" t="s">
        <v>114</v>
      </c>
      <c r="F171" s="7">
        <v>30.1</v>
      </c>
    </row>
    <row r="172" spans="1:6">
      <c r="A172" s="3">
        <v>4</v>
      </c>
      <c r="B172" s="3">
        <v>4</v>
      </c>
      <c r="C172" s="3" t="s">
        <v>146</v>
      </c>
      <c r="D172" s="3" t="s">
        <v>116</v>
      </c>
      <c r="E172" s="3" t="s">
        <v>119</v>
      </c>
      <c r="F172" s="7">
        <v>33</v>
      </c>
    </row>
    <row r="173" spans="1:6">
      <c r="A173" s="3">
        <v>4</v>
      </c>
      <c r="B173" s="3">
        <v>6</v>
      </c>
      <c r="C173" s="3" t="s">
        <v>152</v>
      </c>
      <c r="D173" s="3" t="s">
        <v>123</v>
      </c>
      <c r="E173" s="3" t="s">
        <v>124</v>
      </c>
      <c r="F173" s="7">
        <v>36</v>
      </c>
    </row>
    <row r="174" spans="1:6">
      <c r="A174" s="3">
        <v>4</v>
      </c>
      <c r="B174" s="3">
        <v>6</v>
      </c>
      <c r="C174" s="3" t="s">
        <v>120</v>
      </c>
      <c r="D174" s="3" t="s">
        <v>116</v>
      </c>
      <c r="E174" s="3" t="s">
        <v>157</v>
      </c>
      <c r="F174" s="7">
        <v>40</v>
      </c>
    </row>
    <row r="175" spans="1:6">
      <c r="A175" s="3">
        <v>4</v>
      </c>
      <c r="B175" s="3">
        <v>27</v>
      </c>
      <c r="C175" s="3" t="s">
        <v>131</v>
      </c>
      <c r="D175" s="3" t="s">
        <v>116</v>
      </c>
      <c r="E175" s="3" t="s">
        <v>114</v>
      </c>
      <c r="F175" s="7">
        <v>43.9</v>
      </c>
    </row>
    <row r="176" spans="1:6">
      <c r="A176" s="3">
        <v>4</v>
      </c>
      <c r="B176" s="3">
        <v>28</v>
      </c>
      <c r="C176" s="3" t="s">
        <v>172</v>
      </c>
      <c r="D176" s="3" t="s">
        <v>121</v>
      </c>
      <c r="E176" s="3" t="s">
        <v>122</v>
      </c>
      <c r="F176" s="7">
        <v>55</v>
      </c>
    </row>
    <row r="177" spans="1:6">
      <c r="A177" s="3">
        <v>4</v>
      </c>
      <c r="B177" s="3">
        <v>27</v>
      </c>
      <c r="C177" s="3" t="s">
        <v>131</v>
      </c>
      <c r="D177" s="3" t="s">
        <v>116</v>
      </c>
      <c r="E177" s="3" t="s">
        <v>119</v>
      </c>
      <c r="F177" s="7">
        <v>60</v>
      </c>
    </row>
    <row r="178" spans="1:6">
      <c r="A178" s="3">
        <v>4</v>
      </c>
      <c r="B178" s="3">
        <v>4</v>
      </c>
      <c r="C178" s="3" t="s">
        <v>155</v>
      </c>
      <c r="D178" s="3" t="s">
        <v>116</v>
      </c>
      <c r="E178" s="3" t="s">
        <v>114</v>
      </c>
      <c r="F178" s="7">
        <v>85.6</v>
      </c>
    </row>
    <row r="179" spans="1:6">
      <c r="A179" s="3">
        <v>4</v>
      </c>
      <c r="B179" s="3">
        <v>4</v>
      </c>
      <c r="C179" s="3" t="s">
        <v>155</v>
      </c>
      <c r="D179" s="3" t="s">
        <v>116</v>
      </c>
      <c r="E179" s="3" t="s">
        <v>118</v>
      </c>
      <c r="F179" s="7">
        <v>147</v>
      </c>
    </row>
    <row r="180" spans="1:6">
      <c r="A180" s="3">
        <v>4</v>
      </c>
      <c r="B180" s="3">
        <v>27</v>
      </c>
      <c r="C180" s="3" t="s">
        <v>189</v>
      </c>
      <c r="D180" s="3" t="s">
        <v>125</v>
      </c>
      <c r="E180" s="3" t="s">
        <v>126</v>
      </c>
      <c r="F180" s="7">
        <v>150</v>
      </c>
    </row>
    <row r="181" spans="1:6">
      <c r="A181" s="3">
        <v>4</v>
      </c>
      <c r="B181" s="3">
        <v>28</v>
      </c>
      <c r="C181" s="3" t="s">
        <v>185</v>
      </c>
      <c r="D181" s="3" t="s">
        <v>129</v>
      </c>
      <c r="E181" s="3" t="s">
        <v>138</v>
      </c>
      <c r="F181" s="7">
        <v>171</v>
      </c>
    </row>
    <row r="182" spans="1:6">
      <c r="A182" s="3">
        <v>4</v>
      </c>
      <c r="B182" s="3">
        <v>28</v>
      </c>
      <c r="C182" s="3" t="s">
        <v>172</v>
      </c>
      <c r="D182" s="3" t="s">
        <v>116</v>
      </c>
      <c r="E182" s="3" t="s">
        <v>128</v>
      </c>
      <c r="F182" s="7">
        <v>180</v>
      </c>
    </row>
    <row r="183" spans="1:6">
      <c r="A183" s="3">
        <v>4</v>
      </c>
      <c r="B183" s="3">
        <v>23</v>
      </c>
      <c r="C183" s="3" t="s">
        <v>161</v>
      </c>
      <c r="D183" s="3" t="s">
        <v>190</v>
      </c>
      <c r="E183" s="3" t="s">
        <v>191</v>
      </c>
      <c r="F183" s="7">
        <v>210</v>
      </c>
    </row>
    <row r="184" spans="1:6">
      <c r="A184" s="3">
        <v>4</v>
      </c>
      <c r="B184" s="3">
        <v>28</v>
      </c>
      <c r="C184" s="3" t="s">
        <v>185</v>
      </c>
      <c r="D184" s="3" t="s">
        <v>121</v>
      </c>
      <c r="E184" s="3" t="s">
        <v>144</v>
      </c>
      <c r="F184" s="7">
        <v>228</v>
      </c>
    </row>
    <row r="185" spans="1:6">
      <c r="A185" s="3">
        <v>4</v>
      </c>
      <c r="B185" s="3">
        <v>6</v>
      </c>
      <c r="C185" s="3" t="s">
        <v>152</v>
      </c>
      <c r="D185" s="3" t="s">
        <v>116</v>
      </c>
      <c r="E185" s="3" t="s">
        <v>118</v>
      </c>
      <c r="F185" s="7">
        <v>233</v>
      </c>
    </row>
    <row r="186" spans="1:6">
      <c r="A186" s="3">
        <v>4</v>
      </c>
      <c r="B186" s="3">
        <v>30</v>
      </c>
      <c r="C186" s="3" t="s">
        <v>192</v>
      </c>
      <c r="D186" s="3" t="s">
        <v>116</v>
      </c>
      <c r="E186" s="3" t="s">
        <v>164</v>
      </c>
      <c r="F186" s="7">
        <v>272.73</v>
      </c>
    </row>
    <row r="187" spans="1:6">
      <c r="A187" s="3">
        <v>4</v>
      </c>
      <c r="B187" s="3">
        <v>6</v>
      </c>
      <c r="C187" s="3" t="s">
        <v>154</v>
      </c>
      <c r="D187" s="3" t="s">
        <v>123</v>
      </c>
      <c r="E187" s="3" t="s">
        <v>126</v>
      </c>
      <c r="F187" s="7">
        <v>300</v>
      </c>
    </row>
    <row r="188" spans="1:6">
      <c r="A188" s="3">
        <v>4</v>
      </c>
      <c r="B188" s="3">
        <v>28</v>
      </c>
      <c r="C188" s="3" t="s">
        <v>172</v>
      </c>
      <c r="D188" s="3" t="s">
        <v>121</v>
      </c>
      <c r="E188" s="3" t="s">
        <v>133</v>
      </c>
      <c r="F188" s="7">
        <v>304.92</v>
      </c>
    </row>
    <row r="189" spans="1:6">
      <c r="A189" s="3">
        <v>4</v>
      </c>
      <c r="B189" s="3">
        <v>4</v>
      </c>
      <c r="C189" s="3" t="s">
        <v>155</v>
      </c>
      <c r="D189" s="3" t="s">
        <v>116</v>
      </c>
      <c r="E189" s="3" t="s">
        <v>136</v>
      </c>
      <c r="F189" s="7">
        <v>313</v>
      </c>
    </row>
    <row r="190" spans="1:6">
      <c r="A190" s="3">
        <v>4</v>
      </c>
      <c r="B190" s="3">
        <v>26</v>
      </c>
      <c r="C190" s="3" t="s">
        <v>148</v>
      </c>
      <c r="D190" s="3" t="s">
        <v>116</v>
      </c>
      <c r="E190" s="3" t="s">
        <v>157</v>
      </c>
      <c r="F190" s="7">
        <v>427</v>
      </c>
    </row>
    <row r="191" spans="1:6">
      <c r="A191" s="3">
        <v>4</v>
      </c>
      <c r="B191" s="3">
        <v>27</v>
      </c>
      <c r="C191" s="3" t="s">
        <v>189</v>
      </c>
      <c r="D191" s="3" t="s">
        <v>123</v>
      </c>
      <c r="E191" s="3" t="s">
        <v>124</v>
      </c>
      <c r="F191" s="7">
        <v>495</v>
      </c>
    </row>
    <row r="192" spans="1:6">
      <c r="A192" s="3">
        <v>4</v>
      </c>
      <c r="B192" s="3">
        <v>6</v>
      </c>
      <c r="C192" s="3" t="s">
        <v>184</v>
      </c>
      <c r="D192" s="3" t="s">
        <v>121</v>
      </c>
      <c r="E192" s="3" t="s">
        <v>193</v>
      </c>
      <c r="F192" s="7">
        <v>585</v>
      </c>
    </row>
    <row r="193" spans="1:6">
      <c r="A193" s="3">
        <v>4</v>
      </c>
      <c r="B193" s="3">
        <v>23</v>
      </c>
      <c r="C193" s="3" t="s">
        <v>161</v>
      </c>
      <c r="D193" s="3" t="s">
        <v>190</v>
      </c>
      <c r="E193" s="3" t="s">
        <v>191</v>
      </c>
      <c r="F193" s="7">
        <v>600</v>
      </c>
    </row>
    <row r="194" spans="1:6">
      <c r="A194" s="3">
        <v>4</v>
      </c>
      <c r="B194" s="3">
        <v>6</v>
      </c>
      <c r="C194" s="3" t="s">
        <v>152</v>
      </c>
      <c r="D194" s="3" t="s">
        <v>116</v>
      </c>
      <c r="E194" s="3" t="s">
        <v>136</v>
      </c>
      <c r="F194" s="7">
        <v>750</v>
      </c>
    </row>
    <row r="195" spans="1:6">
      <c r="A195" s="3">
        <v>4</v>
      </c>
      <c r="B195" s="3">
        <v>6</v>
      </c>
      <c r="C195" s="3" t="s">
        <v>120</v>
      </c>
      <c r="D195" s="3" t="s">
        <v>125</v>
      </c>
      <c r="E195" s="3" t="s">
        <v>135</v>
      </c>
      <c r="F195" s="7">
        <v>760</v>
      </c>
    </row>
    <row r="196" spans="1:6">
      <c r="A196" s="3">
        <v>4</v>
      </c>
      <c r="B196" s="3">
        <v>28</v>
      </c>
      <c r="C196" s="3" t="s">
        <v>172</v>
      </c>
      <c r="D196" s="3" t="s">
        <v>121</v>
      </c>
      <c r="E196" s="3" t="s">
        <v>137</v>
      </c>
      <c r="F196" s="7">
        <v>775</v>
      </c>
    </row>
    <row r="197" spans="1:6">
      <c r="A197" s="3">
        <v>4</v>
      </c>
      <c r="B197" s="3">
        <v>24</v>
      </c>
      <c r="C197" s="3" t="s">
        <v>145</v>
      </c>
      <c r="D197" s="3" t="s">
        <v>123</v>
      </c>
      <c r="E197" s="3" t="s">
        <v>126</v>
      </c>
      <c r="F197" s="7">
        <v>800</v>
      </c>
    </row>
    <row r="198" spans="1:6">
      <c r="A198" s="3">
        <v>4</v>
      </c>
      <c r="B198" s="3">
        <v>23</v>
      </c>
      <c r="C198" s="3" t="s">
        <v>161</v>
      </c>
      <c r="D198" s="3" t="s">
        <v>190</v>
      </c>
      <c r="E198" s="3" t="s">
        <v>191</v>
      </c>
      <c r="F198" s="7">
        <v>849</v>
      </c>
    </row>
    <row r="199" spans="1:6">
      <c r="A199" s="3">
        <v>4</v>
      </c>
      <c r="B199" s="3">
        <v>24</v>
      </c>
      <c r="C199" s="3" t="s">
        <v>145</v>
      </c>
      <c r="D199" s="3" t="s">
        <v>125</v>
      </c>
      <c r="E199" s="3" t="s">
        <v>135</v>
      </c>
      <c r="F199" s="7">
        <v>866</v>
      </c>
    </row>
    <row r="200" spans="1:6">
      <c r="A200" s="3">
        <v>4</v>
      </c>
      <c r="B200" s="3">
        <v>4</v>
      </c>
      <c r="C200" s="3" t="s">
        <v>155</v>
      </c>
      <c r="D200" s="3" t="s">
        <v>123</v>
      </c>
      <c r="E200" s="3" t="s">
        <v>124</v>
      </c>
      <c r="F200" s="7">
        <v>869</v>
      </c>
    </row>
    <row r="201" spans="1:6">
      <c r="A201" s="3">
        <v>4</v>
      </c>
      <c r="B201" s="3">
        <v>23</v>
      </c>
      <c r="C201" s="3" t="s">
        <v>161</v>
      </c>
      <c r="D201" s="3" t="s">
        <v>190</v>
      </c>
      <c r="E201" s="3" t="s">
        <v>191</v>
      </c>
      <c r="F201" s="7">
        <v>915</v>
      </c>
    </row>
    <row r="202" spans="1:6">
      <c r="A202" s="3">
        <v>4</v>
      </c>
      <c r="B202" s="3">
        <v>28</v>
      </c>
      <c r="C202" s="3" t="s">
        <v>172</v>
      </c>
      <c r="D202" s="3" t="s">
        <v>129</v>
      </c>
      <c r="E202" s="3" t="s">
        <v>139</v>
      </c>
      <c r="F202" s="7">
        <v>942</v>
      </c>
    </row>
    <row r="203" spans="1:6">
      <c r="A203" s="3">
        <v>4</v>
      </c>
      <c r="B203" s="3">
        <v>28</v>
      </c>
      <c r="C203" s="3" t="s">
        <v>172</v>
      </c>
      <c r="D203" s="3" t="s">
        <v>129</v>
      </c>
      <c r="E203" s="3" t="s">
        <v>138</v>
      </c>
      <c r="F203" s="7">
        <v>957.7</v>
      </c>
    </row>
    <row r="204" spans="1:6">
      <c r="A204" s="3">
        <v>4</v>
      </c>
      <c r="B204" s="3">
        <v>6</v>
      </c>
      <c r="C204" s="3" t="s">
        <v>158</v>
      </c>
      <c r="D204" s="3" t="s">
        <v>116</v>
      </c>
      <c r="E204" s="3" t="s">
        <v>112</v>
      </c>
      <c r="F204" s="7">
        <v>999</v>
      </c>
    </row>
    <row r="205" spans="1:6">
      <c r="A205" s="3">
        <v>4</v>
      </c>
      <c r="B205" s="3">
        <v>23</v>
      </c>
      <c r="C205" s="3" t="s">
        <v>159</v>
      </c>
      <c r="D205" s="3" t="s">
        <v>190</v>
      </c>
      <c r="E205" s="3" t="s">
        <v>191</v>
      </c>
      <c r="F205" s="7">
        <v>1205.1300000000001</v>
      </c>
    </row>
    <row r="206" spans="1:6">
      <c r="A206" s="3">
        <v>4</v>
      </c>
      <c r="B206" s="3">
        <v>28</v>
      </c>
      <c r="C206" s="3" t="s">
        <v>172</v>
      </c>
      <c r="D206" s="3" t="s">
        <v>121</v>
      </c>
      <c r="E206" s="3" t="s">
        <v>144</v>
      </c>
      <c r="F206" s="7">
        <v>1276.93</v>
      </c>
    </row>
    <row r="207" spans="1:6">
      <c r="A207" s="3">
        <v>4</v>
      </c>
      <c r="B207" s="3">
        <v>27</v>
      </c>
      <c r="C207" s="3" t="s">
        <v>189</v>
      </c>
      <c r="D207" s="3" t="s">
        <v>116</v>
      </c>
      <c r="E207" s="3" t="s">
        <v>160</v>
      </c>
      <c r="F207" s="7">
        <v>1300</v>
      </c>
    </row>
    <row r="208" spans="1:6">
      <c r="A208" s="3">
        <v>4</v>
      </c>
      <c r="B208" s="3">
        <v>27</v>
      </c>
      <c r="C208" s="3" t="s">
        <v>194</v>
      </c>
      <c r="D208" s="3" t="s">
        <v>121</v>
      </c>
      <c r="E208" s="3" t="s">
        <v>193</v>
      </c>
      <c r="F208" s="7">
        <v>1560</v>
      </c>
    </row>
    <row r="209" spans="1:6">
      <c r="A209" s="3">
        <v>4</v>
      </c>
      <c r="B209" s="3">
        <v>27</v>
      </c>
      <c r="C209" s="3" t="s">
        <v>168</v>
      </c>
      <c r="D209" s="3" t="s">
        <v>116</v>
      </c>
      <c r="E209" s="3" t="s">
        <v>132</v>
      </c>
      <c r="F209" s="7">
        <v>1792</v>
      </c>
    </row>
    <row r="210" spans="1:6">
      <c r="A210" s="3">
        <v>4</v>
      </c>
      <c r="B210" s="3">
        <v>30</v>
      </c>
      <c r="C210" s="3" t="s">
        <v>175</v>
      </c>
      <c r="D210" s="3" t="s">
        <v>123</v>
      </c>
      <c r="E210" s="3" t="s">
        <v>124</v>
      </c>
      <c r="F210" s="7">
        <v>1815.6</v>
      </c>
    </row>
    <row r="211" spans="1:6">
      <c r="A211" s="3">
        <v>4</v>
      </c>
      <c r="B211" s="3">
        <v>16</v>
      </c>
      <c r="C211" s="3" t="s">
        <v>163</v>
      </c>
      <c r="D211" s="3" t="s">
        <v>123</v>
      </c>
      <c r="E211" s="3" t="s">
        <v>124</v>
      </c>
      <c r="F211" s="7">
        <v>1900</v>
      </c>
    </row>
    <row r="212" spans="1:6">
      <c r="A212" s="3">
        <v>4</v>
      </c>
      <c r="B212" s="3">
        <v>19</v>
      </c>
      <c r="C212" s="3" t="s">
        <v>134</v>
      </c>
      <c r="D212" s="3" t="s">
        <v>116</v>
      </c>
      <c r="E212" s="3" t="s">
        <v>132</v>
      </c>
      <c r="F212" s="7">
        <v>1982.4</v>
      </c>
    </row>
    <row r="213" spans="1:6">
      <c r="A213" s="3">
        <v>4</v>
      </c>
      <c r="B213" s="3">
        <v>9</v>
      </c>
      <c r="C213" s="3" t="s">
        <v>153</v>
      </c>
      <c r="D213" s="3" t="s">
        <v>123</v>
      </c>
      <c r="E213" s="3" t="s">
        <v>124</v>
      </c>
      <c r="F213" s="7">
        <v>2296.1999999999998</v>
      </c>
    </row>
    <row r="214" spans="1:6">
      <c r="A214" s="3">
        <v>4</v>
      </c>
      <c r="B214" s="3">
        <v>9</v>
      </c>
      <c r="C214" s="3" t="s">
        <v>156</v>
      </c>
      <c r="D214" s="3" t="s">
        <v>125</v>
      </c>
      <c r="E214" s="3" t="s">
        <v>135</v>
      </c>
      <c r="F214" s="7">
        <v>2345</v>
      </c>
    </row>
    <row r="215" spans="1:6">
      <c r="A215" s="3">
        <v>4</v>
      </c>
      <c r="B215" s="3">
        <v>28</v>
      </c>
      <c r="C215" s="3" t="s">
        <v>182</v>
      </c>
      <c r="D215" s="3" t="s">
        <v>116</v>
      </c>
      <c r="E215" s="3" t="s">
        <v>195</v>
      </c>
      <c r="F215" s="7">
        <v>2376.9899999999998</v>
      </c>
    </row>
    <row r="216" spans="1:6">
      <c r="A216" s="3">
        <v>4</v>
      </c>
      <c r="B216" s="3">
        <v>9</v>
      </c>
      <c r="C216" s="3" t="s">
        <v>183</v>
      </c>
      <c r="D216" s="3" t="s">
        <v>123</v>
      </c>
      <c r="E216" s="3" t="s">
        <v>124</v>
      </c>
      <c r="F216" s="7">
        <v>2553</v>
      </c>
    </row>
    <row r="217" spans="1:6">
      <c r="A217" s="3">
        <v>4</v>
      </c>
      <c r="B217" s="3">
        <v>6</v>
      </c>
      <c r="C217" s="3" t="s">
        <v>158</v>
      </c>
      <c r="D217" s="3" t="s">
        <v>123</v>
      </c>
      <c r="E217" s="3" t="s">
        <v>124</v>
      </c>
      <c r="F217" s="7">
        <v>2789.6</v>
      </c>
    </row>
    <row r="218" spans="1:6">
      <c r="A218" s="3">
        <v>4</v>
      </c>
      <c r="B218" s="3">
        <v>27</v>
      </c>
      <c r="C218" s="3" t="s">
        <v>189</v>
      </c>
      <c r="D218" s="3" t="s">
        <v>116</v>
      </c>
      <c r="E218" s="3" t="s">
        <v>118</v>
      </c>
      <c r="F218" s="7">
        <v>2845</v>
      </c>
    </row>
    <row r="219" spans="1:6">
      <c r="A219" s="3">
        <v>4</v>
      </c>
      <c r="B219" s="3">
        <v>27</v>
      </c>
      <c r="C219" s="3" t="s">
        <v>189</v>
      </c>
      <c r="D219" s="3" t="s">
        <v>116</v>
      </c>
      <c r="E219" s="3" t="s">
        <v>136</v>
      </c>
      <c r="F219" s="7">
        <v>3103.9</v>
      </c>
    </row>
    <row r="220" spans="1:6">
      <c r="A220" s="3">
        <v>4</v>
      </c>
      <c r="B220" s="3">
        <v>27</v>
      </c>
      <c r="C220" s="3" t="s">
        <v>171</v>
      </c>
      <c r="D220" s="3" t="s">
        <v>142</v>
      </c>
      <c r="E220" s="3" t="s">
        <v>124</v>
      </c>
      <c r="F220" s="7">
        <v>3266.2</v>
      </c>
    </row>
    <row r="221" spans="1:6">
      <c r="A221" s="3">
        <v>4</v>
      </c>
      <c r="B221" s="3">
        <v>28</v>
      </c>
      <c r="C221" s="3" t="s">
        <v>182</v>
      </c>
      <c r="D221" s="3" t="s">
        <v>116</v>
      </c>
      <c r="E221" s="3" t="s">
        <v>147</v>
      </c>
      <c r="F221" s="7">
        <v>3360</v>
      </c>
    </row>
    <row r="222" spans="1:6">
      <c r="A222" s="3">
        <v>4</v>
      </c>
      <c r="B222" s="3">
        <v>9</v>
      </c>
      <c r="C222" s="3" t="s">
        <v>183</v>
      </c>
      <c r="D222" s="3" t="s">
        <v>142</v>
      </c>
      <c r="E222" s="3" t="s">
        <v>124</v>
      </c>
      <c r="F222" s="7">
        <v>3425.4</v>
      </c>
    </row>
    <row r="223" spans="1:6">
      <c r="A223" s="3">
        <v>4</v>
      </c>
      <c r="B223" s="3">
        <v>6</v>
      </c>
      <c r="C223" s="3" t="s">
        <v>158</v>
      </c>
      <c r="D223" s="3" t="s">
        <v>142</v>
      </c>
      <c r="E223" s="3" t="s">
        <v>124</v>
      </c>
      <c r="F223" s="7">
        <v>3837.8</v>
      </c>
    </row>
    <row r="224" spans="1:6">
      <c r="A224" s="3">
        <v>4</v>
      </c>
      <c r="B224" s="3">
        <v>23</v>
      </c>
      <c r="C224" s="3" t="s">
        <v>173</v>
      </c>
      <c r="D224" s="3" t="s">
        <v>111</v>
      </c>
      <c r="E224" s="3" t="s">
        <v>160</v>
      </c>
      <c r="F224" s="7">
        <v>5760.68</v>
      </c>
    </row>
    <row r="225" spans="1:6">
      <c r="A225" s="3">
        <v>4</v>
      </c>
      <c r="B225" s="3">
        <v>9</v>
      </c>
      <c r="C225" s="3" t="s">
        <v>153</v>
      </c>
      <c r="D225" s="3" t="s">
        <v>142</v>
      </c>
      <c r="E225" s="3" t="s">
        <v>124</v>
      </c>
      <c r="F225" s="7">
        <v>6076.3</v>
      </c>
    </row>
    <row r="226" spans="1:6">
      <c r="A226" s="3">
        <v>4</v>
      </c>
      <c r="B226" s="3">
        <v>23</v>
      </c>
      <c r="C226" s="3" t="s">
        <v>159</v>
      </c>
      <c r="D226" s="3" t="s">
        <v>190</v>
      </c>
      <c r="E226" s="3" t="s">
        <v>191</v>
      </c>
      <c r="F226" s="7">
        <v>7538.47</v>
      </c>
    </row>
    <row r="227" spans="1:6">
      <c r="A227" s="3">
        <v>4</v>
      </c>
      <c r="B227" s="3">
        <v>27</v>
      </c>
      <c r="C227" s="3" t="s">
        <v>169</v>
      </c>
      <c r="D227" s="3" t="s">
        <v>142</v>
      </c>
      <c r="E227" s="3" t="s">
        <v>124</v>
      </c>
      <c r="F227" s="7">
        <v>11300</v>
      </c>
    </row>
    <row r="228" spans="1:6">
      <c r="A228" s="3">
        <v>4</v>
      </c>
      <c r="B228" s="3">
        <v>28</v>
      </c>
      <c r="C228" s="3" t="s">
        <v>172</v>
      </c>
      <c r="D228" s="3" t="s">
        <v>121</v>
      </c>
      <c r="E228" s="3" t="s">
        <v>149</v>
      </c>
      <c r="F228" s="7">
        <v>14232</v>
      </c>
    </row>
    <row r="229" spans="1:6">
      <c r="A229" s="3">
        <v>5</v>
      </c>
      <c r="B229" s="3">
        <v>15</v>
      </c>
      <c r="C229" s="3" t="s">
        <v>113</v>
      </c>
      <c r="D229" s="3" t="s">
        <v>111</v>
      </c>
      <c r="E229" s="3" t="s">
        <v>119</v>
      </c>
      <c r="F229" s="7">
        <v>5</v>
      </c>
    </row>
    <row r="230" spans="1:6">
      <c r="A230" s="3">
        <v>5</v>
      </c>
      <c r="B230" s="3">
        <v>9</v>
      </c>
      <c r="C230" s="3" t="s">
        <v>156</v>
      </c>
      <c r="D230" s="3" t="s">
        <v>111</v>
      </c>
      <c r="E230" s="3" t="s">
        <v>114</v>
      </c>
      <c r="F230" s="7">
        <v>18.2</v>
      </c>
    </row>
    <row r="231" spans="1:6">
      <c r="A231" s="3">
        <v>5</v>
      </c>
      <c r="B231" s="3">
        <v>14</v>
      </c>
      <c r="C231" s="3" t="s">
        <v>176</v>
      </c>
      <c r="D231" s="3" t="s">
        <v>123</v>
      </c>
      <c r="E231" s="3" t="s">
        <v>124</v>
      </c>
      <c r="F231" s="7">
        <v>36</v>
      </c>
    </row>
    <row r="232" spans="1:6">
      <c r="A232" s="3">
        <v>5</v>
      </c>
      <c r="B232" s="3">
        <v>28</v>
      </c>
      <c r="C232" s="3" t="s">
        <v>196</v>
      </c>
      <c r="D232" s="3" t="s">
        <v>116</v>
      </c>
      <c r="E232" s="3" t="s">
        <v>197</v>
      </c>
      <c r="F232" s="7">
        <v>36</v>
      </c>
    </row>
    <row r="233" spans="1:6">
      <c r="A233" s="3">
        <v>5</v>
      </c>
      <c r="B233" s="3">
        <v>8</v>
      </c>
      <c r="C233" s="3" t="s">
        <v>155</v>
      </c>
      <c r="D233" s="3" t="s">
        <v>116</v>
      </c>
      <c r="E233" s="3" t="s">
        <v>112</v>
      </c>
      <c r="F233" s="7">
        <v>38</v>
      </c>
    </row>
    <row r="234" spans="1:6">
      <c r="A234" s="3">
        <v>5</v>
      </c>
      <c r="B234" s="3">
        <v>28</v>
      </c>
      <c r="C234" s="3" t="s">
        <v>196</v>
      </c>
      <c r="D234" s="3" t="s">
        <v>116</v>
      </c>
      <c r="E234" s="3" t="s">
        <v>164</v>
      </c>
      <c r="F234" s="7">
        <v>50</v>
      </c>
    </row>
    <row r="235" spans="1:6">
      <c r="A235" s="3">
        <v>5</v>
      </c>
      <c r="B235" s="3">
        <v>9</v>
      </c>
      <c r="C235" s="3" t="s">
        <v>156</v>
      </c>
      <c r="D235" s="3" t="s">
        <v>116</v>
      </c>
      <c r="E235" s="3" t="s">
        <v>132</v>
      </c>
      <c r="F235" s="7">
        <v>55</v>
      </c>
    </row>
    <row r="236" spans="1:6">
      <c r="A236" s="3">
        <v>5</v>
      </c>
      <c r="B236" s="3">
        <v>9</v>
      </c>
      <c r="C236" s="3" t="s">
        <v>184</v>
      </c>
      <c r="D236" s="3" t="s">
        <v>116</v>
      </c>
      <c r="E236" s="3" t="s">
        <v>119</v>
      </c>
      <c r="F236" s="7">
        <v>56</v>
      </c>
    </row>
    <row r="237" spans="1:6">
      <c r="A237" s="3">
        <v>5</v>
      </c>
      <c r="B237" s="3">
        <v>15</v>
      </c>
      <c r="C237" s="3" t="s">
        <v>162</v>
      </c>
      <c r="D237" s="3" t="s">
        <v>116</v>
      </c>
      <c r="E237" s="3" t="s">
        <v>112</v>
      </c>
      <c r="F237" s="7">
        <v>58.2</v>
      </c>
    </row>
    <row r="238" spans="1:6">
      <c r="A238" s="3">
        <v>5</v>
      </c>
      <c r="B238" s="3">
        <v>25</v>
      </c>
      <c r="C238" s="3" t="s">
        <v>198</v>
      </c>
      <c r="D238" s="3" t="s">
        <v>121</v>
      </c>
      <c r="E238" s="3" t="s">
        <v>122</v>
      </c>
      <c r="F238" s="7">
        <v>65</v>
      </c>
    </row>
    <row r="239" spans="1:6">
      <c r="A239" s="3">
        <v>5</v>
      </c>
      <c r="B239" s="3">
        <v>8</v>
      </c>
      <c r="C239" s="3" t="s">
        <v>155</v>
      </c>
      <c r="D239" s="3" t="s">
        <v>116</v>
      </c>
      <c r="E239" s="3" t="s">
        <v>119</v>
      </c>
      <c r="F239" s="7">
        <v>80</v>
      </c>
    </row>
    <row r="240" spans="1:6">
      <c r="A240" s="3">
        <v>5</v>
      </c>
      <c r="B240" s="3">
        <v>9</v>
      </c>
      <c r="C240" s="3" t="s">
        <v>156</v>
      </c>
      <c r="D240" s="3" t="s">
        <v>116</v>
      </c>
      <c r="E240" s="3" t="s">
        <v>118</v>
      </c>
      <c r="F240" s="7">
        <v>83</v>
      </c>
    </row>
    <row r="241" spans="1:6">
      <c r="A241" s="3">
        <v>5</v>
      </c>
      <c r="B241" s="3">
        <v>15</v>
      </c>
      <c r="C241" s="3" t="s">
        <v>113</v>
      </c>
      <c r="D241" s="3" t="s">
        <v>116</v>
      </c>
      <c r="E241" s="3" t="s">
        <v>114</v>
      </c>
      <c r="F241" s="7">
        <v>83.7</v>
      </c>
    </row>
    <row r="242" spans="1:6">
      <c r="A242" s="3">
        <v>5</v>
      </c>
      <c r="B242" s="3">
        <v>30</v>
      </c>
      <c r="C242" s="3" t="s">
        <v>199</v>
      </c>
      <c r="D242" s="3" t="s">
        <v>116</v>
      </c>
      <c r="E242" s="3" t="s">
        <v>112</v>
      </c>
      <c r="F242" s="7">
        <v>85</v>
      </c>
    </row>
    <row r="243" spans="1:6">
      <c r="A243" s="3">
        <v>5</v>
      </c>
      <c r="B243" s="3">
        <v>28</v>
      </c>
      <c r="C243" s="3" t="s">
        <v>192</v>
      </c>
      <c r="D243" s="3" t="s">
        <v>116</v>
      </c>
      <c r="E243" s="3" t="s">
        <v>118</v>
      </c>
      <c r="F243" s="7">
        <v>92.5</v>
      </c>
    </row>
    <row r="244" spans="1:6">
      <c r="A244" s="3">
        <v>5</v>
      </c>
      <c r="B244" s="3">
        <v>15</v>
      </c>
      <c r="C244" s="3" t="s">
        <v>162</v>
      </c>
      <c r="D244" s="3" t="s">
        <v>116</v>
      </c>
      <c r="E244" s="3" t="s">
        <v>114</v>
      </c>
      <c r="F244" s="7">
        <v>123.1</v>
      </c>
    </row>
    <row r="245" spans="1:6">
      <c r="A245" s="3">
        <v>5</v>
      </c>
      <c r="B245" s="3">
        <v>31</v>
      </c>
      <c r="C245" s="3" t="s">
        <v>200</v>
      </c>
      <c r="D245" s="3" t="s">
        <v>129</v>
      </c>
      <c r="E245" s="3" t="s">
        <v>138</v>
      </c>
      <c r="F245" s="7">
        <v>166.5</v>
      </c>
    </row>
    <row r="246" spans="1:6">
      <c r="A246" s="3">
        <v>5</v>
      </c>
      <c r="B246" s="3">
        <v>25</v>
      </c>
      <c r="C246" s="3" t="s">
        <v>198</v>
      </c>
      <c r="D246" s="3" t="s">
        <v>116</v>
      </c>
      <c r="E246" s="3" t="s">
        <v>128</v>
      </c>
      <c r="F246" s="7">
        <v>180</v>
      </c>
    </row>
    <row r="247" spans="1:6">
      <c r="A247" s="3">
        <v>5</v>
      </c>
      <c r="B247" s="3">
        <v>10</v>
      </c>
      <c r="C247" s="3" t="s">
        <v>183</v>
      </c>
      <c r="D247" s="3" t="s">
        <v>116</v>
      </c>
      <c r="E247" s="3" t="s">
        <v>114</v>
      </c>
      <c r="F247" s="7">
        <v>191.1</v>
      </c>
    </row>
    <row r="248" spans="1:6">
      <c r="A248" s="3">
        <v>5</v>
      </c>
      <c r="B248" s="3">
        <v>31</v>
      </c>
      <c r="C248" s="3" t="s">
        <v>200</v>
      </c>
      <c r="D248" s="3" t="s">
        <v>121</v>
      </c>
      <c r="E248" s="3" t="s">
        <v>144</v>
      </c>
      <c r="F248" s="7">
        <v>222</v>
      </c>
    </row>
    <row r="249" spans="1:6">
      <c r="A249" s="3">
        <v>5</v>
      </c>
      <c r="B249" s="3">
        <v>14</v>
      </c>
      <c r="C249" s="3" t="s">
        <v>176</v>
      </c>
      <c r="D249" s="3" t="s">
        <v>116</v>
      </c>
      <c r="E249" s="3" t="s">
        <v>118</v>
      </c>
      <c r="F249" s="7">
        <v>231</v>
      </c>
    </row>
    <row r="250" spans="1:6">
      <c r="A250" s="3">
        <v>5</v>
      </c>
      <c r="B250" s="3">
        <v>15</v>
      </c>
      <c r="C250" s="3" t="s">
        <v>162</v>
      </c>
      <c r="D250" s="3" t="s">
        <v>129</v>
      </c>
      <c r="E250" s="3" t="s">
        <v>130</v>
      </c>
      <c r="F250" s="7">
        <v>234.6</v>
      </c>
    </row>
    <row r="251" spans="1:6">
      <c r="A251" s="3">
        <v>5</v>
      </c>
      <c r="B251" s="3">
        <v>14</v>
      </c>
      <c r="C251" s="3" t="s">
        <v>201</v>
      </c>
      <c r="D251" s="3" t="s">
        <v>116</v>
      </c>
      <c r="E251" s="3" t="s">
        <v>114</v>
      </c>
      <c r="F251" s="7">
        <v>269</v>
      </c>
    </row>
    <row r="252" spans="1:6">
      <c r="A252" s="3">
        <v>5</v>
      </c>
      <c r="B252" s="3">
        <v>9</v>
      </c>
      <c r="C252" s="3" t="s">
        <v>156</v>
      </c>
      <c r="D252" s="3" t="s">
        <v>123</v>
      </c>
      <c r="E252" s="3" t="s">
        <v>126</v>
      </c>
      <c r="F252" s="7">
        <v>300</v>
      </c>
    </row>
    <row r="253" spans="1:6">
      <c r="A253" s="3">
        <v>5</v>
      </c>
      <c r="B253" s="3">
        <v>28</v>
      </c>
      <c r="C253" s="3" t="s">
        <v>202</v>
      </c>
      <c r="D253" s="3" t="s">
        <v>123</v>
      </c>
      <c r="E253" s="3" t="s">
        <v>126</v>
      </c>
      <c r="F253" s="7">
        <v>300</v>
      </c>
    </row>
    <row r="254" spans="1:6">
      <c r="A254" s="3">
        <v>5</v>
      </c>
      <c r="B254" s="3">
        <v>30</v>
      </c>
      <c r="C254" s="3" t="s">
        <v>199</v>
      </c>
      <c r="D254" s="3" t="s">
        <v>116</v>
      </c>
      <c r="E254" s="3" t="s">
        <v>160</v>
      </c>
      <c r="F254" s="7">
        <v>300</v>
      </c>
    </row>
    <row r="255" spans="1:6">
      <c r="A255" s="3">
        <v>5</v>
      </c>
      <c r="B255" s="3">
        <v>25</v>
      </c>
      <c r="C255" s="3" t="s">
        <v>198</v>
      </c>
      <c r="D255" s="3" t="s">
        <v>121</v>
      </c>
      <c r="E255" s="3" t="s">
        <v>133</v>
      </c>
      <c r="F255" s="7">
        <v>304.92</v>
      </c>
    </row>
    <row r="256" spans="1:6">
      <c r="A256" s="3">
        <v>5</v>
      </c>
      <c r="B256" s="3">
        <v>24</v>
      </c>
      <c r="C256" s="3" t="s">
        <v>171</v>
      </c>
      <c r="D256" s="3" t="s">
        <v>123</v>
      </c>
      <c r="E256" s="3" t="s">
        <v>124</v>
      </c>
      <c r="F256" s="7">
        <v>312</v>
      </c>
    </row>
    <row r="257" spans="1:6">
      <c r="A257" s="3">
        <v>5</v>
      </c>
      <c r="B257" s="3">
        <v>15</v>
      </c>
      <c r="C257" s="3" t="s">
        <v>162</v>
      </c>
      <c r="D257" s="3" t="s">
        <v>125</v>
      </c>
      <c r="E257" s="3" t="s">
        <v>135</v>
      </c>
      <c r="F257" s="7">
        <v>312.2</v>
      </c>
    </row>
    <row r="258" spans="1:6">
      <c r="A258" s="3">
        <v>5</v>
      </c>
      <c r="B258" s="3">
        <v>30</v>
      </c>
      <c r="C258" s="3" t="s">
        <v>203</v>
      </c>
      <c r="D258" s="3" t="s">
        <v>190</v>
      </c>
      <c r="E258" s="3" t="s">
        <v>191</v>
      </c>
      <c r="F258" s="7">
        <v>321</v>
      </c>
    </row>
    <row r="259" spans="1:6">
      <c r="A259" s="3">
        <v>5</v>
      </c>
      <c r="B259" s="3">
        <v>30</v>
      </c>
      <c r="C259" s="3" t="s">
        <v>203</v>
      </c>
      <c r="D259" s="3" t="s">
        <v>190</v>
      </c>
      <c r="E259" s="3" t="s">
        <v>191</v>
      </c>
      <c r="F259" s="7">
        <v>321</v>
      </c>
    </row>
    <row r="260" spans="1:6">
      <c r="A260" s="3">
        <v>5</v>
      </c>
      <c r="B260" s="3">
        <v>31</v>
      </c>
      <c r="C260" s="3" t="s">
        <v>204</v>
      </c>
      <c r="D260" s="3" t="s">
        <v>116</v>
      </c>
      <c r="E260" s="3" t="s">
        <v>114</v>
      </c>
      <c r="F260" s="7">
        <v>341</v>
      </c>
    </row>
    <row r="261" spans="1:6">
      <c r="A261" s="3">
        <v>5</v>
      </c>
      <c r="B261" s="3">
        <v>30</v>
      </c>
      <c r="C261" s="3" t="s">
        <v>205</v>
      </c>
      <c r="D261" s="3" t="s">
        <v>116</v>
      </c>
      <c r="E261" s="3" t="s">
        <v>119</v>
      </c>
      <c r="F261" s="7">
        <v>404</v>
      </c>
    </row>
    <row r="262" spans="1:6">
      <c r="A262" s="3">
        <v>5</v>
      </c>
      <c r="B262" s="3">
        <v>30</v>
      </c>
      <c r="C262" s="3" t="s">
        <v>203</v>
      </c>
      <c r="D262" s="3" t="s">
        <v>190</v>
      </c>
      <c r="E262" s="3" t="s">
        <v>191</v>
      </c>
      <c r="F262" s="7">
        <v>428</v>
      </c>
    </row>
    <row r="263" spans="1:6">
      <c r="A263" s="3">
        <v>5</v>
      </c>
      <c r="B263" s="3">
        <v>30</v>
      </c>
      <c r="C263" s="3" t="s">
        <v>203</v>
      </c>
      <c r="D263" s="3" t="s">
        <v>190</v>
      </c>
      <c r="E263" s="3" t="s">
        <v>191</v>
      </c>
      <c r="F263" s="7">
        <v>428</v>
      </c>
    </row>
    <row r="264" spans="1:6">
      <c r="A264" s="3">
        <v>5</v>
      </c>
      <c r="B264" s="3">
        <v>24</v>
      </c>
      <c r="C264" s="3" t="s">
        <v>171</v>
      </c>
      <c r="D264" s="3" t="s">
        <v>116</v>
      </c>
      <c r="E264" s="3" t="s">
        <v>119</v>
      </c>
      <c r="F264" s="7">
        <v>440</v>
      </c>
    </row>
    <row r="265" spans="1:6">
      <c r="A265" s="3">
        <v>5</v>
      </c>
      <c r="B265" s="3">
        <v>28</v>
      </c>
      <c r="C265" s="3" t="s">
        <v>202</v>
      </c>
      <c r="D265" s="3" t="s">
        <v>116</v>
      </c>
      <c r="E265" s="3" t="s">
        <v>114</v>
      </c>
      <c r="F265" s="7">
        <v>443.4</v>
      </c>
    </row>
    <row r="266" spans="1:6">
      <c r="A266" s="3">
        <v>5</v>
      </c>
      <c r="B266" s="3">
        <v>30</v>
      </c>
      <c r="C266" s="3" t="s">
        <v>203</v>
      </c>
      <c r="D266" s="3" t="s">
        <v>129</v>
      </c>
      <c r="E266" s="3" t="s">
        <v>138</v>
      </c>
      <c r="F266" s="7">
        <v>461.25</v>
      </c>
    </row>
    <row r="267" spans="1:6">
      <c r="A267" s="3">
        <v>5</v>
      </c>
      <c r="B267" s="3">
        <v>15</v>
      </c>
      <c r="C267" s="3" t="s">
        <v>113</v>
      </c>
      <c r="D267" s="3" t="s">
        <v>123</v>
      </c>
      <c r="E267" s="3" t="s">
        <v>124</v>
      </c>
      <c r="F267" s="7">
        <v>486</v>
      </c>
    </row>
    <row r="268" spans="1:6">
      <c r="A268" s="3">
        <v>5</v>
      </c>
      <c r="B268" s="3">
        <v>9</v>
      </c>
      <c r="C268" s="3" t="s">
        <v>120</v>
      </c>
      <c r="D268" s="3" t="s">
        <v>125</v>
      </c>
      <c r="E268" s="3" t="s">
        <v>135</v>
      </c>
      <c r="F268" s="7">
        <v>490</v>
      </c>
    </row>
    <row r="269" spans="1:6">
      <c r="A269" s="3">
        <v>5</v>
      </c>
      <c r="B269" s="3">
        <v>15</v>
      </c>
      <c r="C269" s="3" t="s">
        <v>166</v>
      </c>
      <c r="D269" s="3" t="s">
        <v>125</v>
      </c>
      <c r="E269" s="3" t="s">
        <v>135</v>
      </c>
      <c r="F269" s="7">
        <v>491</v>
      </c>
    </row>
    <row r="270" spans="1:6">
      <c r="A270" s="3">
        <v>5</v>
      </c>
      <c r="B270" s="3">
        <v>28</v>
      </c>
      <c r="C270" s="3" t="s">
        <v>192</v>
      </c>
      <c r="D270" s="3" t="s">
        <v>123</v>
      </c>
      <c r="E270" s="3" t="s">
        <v>126</v>
      </c>
      <c r="F270" s="7">
        <v>500</v>
      </c>
    </row>
    <row r="271" spans="1:6">
      <c r="A271" s="3">
        <v>5</v>
      </c>
      <c r="B271" s="3">
        <v>9</v>
      </c>
      <c r="C271" s="3" t="s">
        <v>156</v>
      </c>
      <c r="D271" s="3" t="s">
        <v>123</v>
      </c>
      <c r="E271" s="3" t="s">
        <v>124</v>
      </c>
      <c r="F271" s="7">
        <v>528</v>
      </c>
    </row>
    <row r="272" spans="1:6">
      <c r="A272" s="3">
        <v>5</v>
      </c>
      <c r="B272" s="3">
        <v>22</v>
      </c>
      <c r="C272" s="3" t="s">
        <v>115</v>
      </c>
      <c r="D272" s="3" t="s">
        <v>190</v>
      </c>
      <c r="E272" s="3" t="s">
        <v>191</v>
      </c>
      <c r="F272" s="7">
        <v>552</v>
      </c>
    </row>
    <row r="273" spans="1:6">
      <c r="A273" s="3">
        <v>5</v>
      </c>
      <c r="B273" s="3">
        <v>25</v>
      </c>
      <c r="C273" s="3" t="s">
        <v>181</v>
      </c>
      <c r="D273" s="3" t="s">
        <v>125</v>
      </c>
      <c r="E273" s="3" t="s">
        <v>135</v>
      </c>
      <c r="F273" s="7">
        <v>589</v>
      </c>
    </row>
    <row r="274" spans="1:6">
      <c r="A274" s="3">
        <v>5</v>
      </c>
      <c r="B274" s="3">
        <v>15</v>
      </c>
      <c r="C274" s="3" t="s">
        <v>162</v>
      </c>
      <c r="D274" s="3" t="s">
        <v>123</v>
      </c>
      <c r="E274" s="3" t="s">
        <v>126</v>
      </c>
      <c r="F274" s="7">
        <v>600</v>
      </c>
    </row>
    <row r="275" spans="1:6">
      <c r="A275" s="3">
        <v>5</v>
      </c>
      <c r="B275" s="3">
        <v>14</v>
      </c>
      <c r="C275" s="3" t="s">
        <v>176</v>
      </c>
      <c r="D275" s="3" t="s">
        <v>116</v>
      </c>
      <c r="E275" s="3" t="s">
        <v>136</v>
      </c>
      <c r="F275" s="7">
        <v>600</v>
      </c>
    </row>
    <row r="276" spans="1:6">
      <c r="A276" s="3">
        <v>5</v>
      </c>
      <c r="B276" s="3">
        <v>28</v>
      </c>
      <c r="C276" s="3" t="s">
        <v>196</v>
      </c>
      <c r="D276" s="3" t="s">
        <v>125</v>
      </c>
      <c r="E276" s="3" t="s">
        <v>135</v>
      </c>
      <c r="F276" s="7">
        <v>602</v>
      </c>
    </row>
    <row r="277" spans="1:6">
      <c r="A277" s="3">
        <v>5</v>
      </c>
      <c r="B277" s="3">
        <v>30</v>
      </c>
      <c r="C277" s="3" t="s">
        <v>199</v>
      </c>
      <c r="D277" s="3" t="s">
        <v>123</v>
      </c>
      <c r="E277" s="3" t="s">
        <v>124</v>
      </c>
      <c r="F277" s="7">
        <v>606</v>
      </c>
    </row>
    <row r="278" spans="1:6">
      <c r="A278" s="3">
        <v>5</v>
      </c>
      <c r="B278" s="3">
        <v>30</v>
      </c>
      <c r="C278" s="3" t="s">
        <v>203</v>
      </c>
      <c r="D278" s="3" t="s">
        <v>121</v>
      </c>
      <c r="E278" s="3" t="s">
        <v>144</v>
      </c>
      <c r="F278" s="7">
        <v>615</v>
      </c>
    </row>
    <row r="279" spans="1:6">
      <c r="A279" s="3">
        <v>5</v>
      </c>
      <c r="B279" s="3">
        <v>28</v>
      </c>
      <c r="C279" s="3" t="s">
        <v>196</v>
      </c>
      <c r="D279" s="3" t="s">
        <v>116</v>
      </c>
      <c r="E279" s="3" t="s">
        <v>132</v>
      </c>
      <c r="F279" s="7">
        <v>700</v>
      </c>
    </row>
    <row r="280" spans="1:6">
      <c r="A280" s="3">
        <v>5</v>
      </c>
      <c r="B280" s="3">
        <v>24</v>
      </c>
      <c r="C280" s="3" t="s">
        <v>171</v>
      </c>
      <c r="D280" s="3" t="s">
        <v>116</v>
      </c>
      <c r="E280" s="3" t="s">
        <v>136</v>
      </c>
      <c r="F280" s="7">
        <v>710</v>
      </c>
    </row>
    <row r="281" spans="1:6">
      <c r="A281" s="3">
        <v>5</v>
      </c>
      <c r="B281" s="3">
        <v>25</v>
      </c>
      <c r="C281" s="3" t="s">
        <v>198</v>
      </c>
      <c r="D281" s="3" t="s">
        <v>121</v>
      </c>
      <c r="E281" s="3" t="s">
        <v>137</v>
      </c>
      <c r="F281" s="7">
        <v>775</v>
      </c>
    </row>
    <row r="282" spans="1:6">
      <c r="A282" s="3">
        <v>5</v>
      </c>
      <c r="B282" s="3">
        <v>14</v>
      </c>
      <c r="C282" s="3" t="s">
        <v>201</v>
      </c>
      <c r="D282" s="3" t="s">
        <v>125</v>
      </c>
      <c r="E282" s="3" t="s">
        <v>135</v>
      </c>
      <c r="F282" s="7">
        <v>790</v>
      </c>
    </row>
    <row r="283" spans="1:6">
      <c r="A283" s="3">
        <v>5</v>
      </c>
      <c r="B283" s="3">
        <v>9</v>
      </c>
      <c r="C283" s="3" t="s">
        <v>184</v>
      </c>
      <c r="D283" s="3" t="s">
        <v>116</v>
      </c>
      <c r="E283" s="3" t="s">
        <v>112</v>
      </c>
      <c r="F283" s="7">
        <v>843.8</v>
      </c>
    </row>
    <row r="284" spans="1:6">
      <c r="A284" s="3">
        <v>5</v>
      </c>
      <c r="B284" s="3">
        <v>25</v>
      </c>
      <c r="C284" s="3" t="s">
        <v>198</v>
      </c>
      <c r="D284" s="3" t="s">
        <v>129</v>
      </c>
      <c r="E284" s="3" t="s">
        <v>139</v>
      </c>
      <c r="F284" s="7">
        <v>960</v>
      </c>
    </row>
    <row r="285" spans="1:6">
      <c r="A285" s="3">
        <v>5</v>
      </c>
      <c r="B285" s="3">
        <v>8</v>
      </c>
      <c r="C285" s="3" t="s">
        <v>155</v>
      </c>
      <c r="D285" s="3" t="s">
        <v>142</v>
      </c>
      <c r="E285" s="3" t="s">
        <v>126</v>
      </c>
      <c r="F285" s="7">
        <v>971.81</v>
      </c>
    </row>
    <row r="286" spans="1:6">
      <c r="A286" s="3">
        <v>5</v>
      </c>
      <c r="B286" s="3">
        <v>25</v>
      </c>
      <c r="C286" s="3" t="s">
        <v>198</v>
      </c>
      <c r="D286" s="3" t="s">
        <v>129</v>
      </c>
      <c r="E286" s="3" t="s">
        <v>138</v>
      </c>
      <c r="F286" s="7">
        <v>999.72</v>
      </c>
    </row>
  </sheetData>
  <autoFilter ref="A1:F286" xr:uid="{00000000-0001-0000-0500-000000000000}"/>
  <phoneticPr fontId="6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zoomScale="150" zoomScaleNormal="150" workbookViewId="0">
      <selection activeCell="H9" sqref="H9"/>
    </sheetView>
  </sheetViews>
  <sheetFormatPr baseColWidth="10" defaultColWidth="8.83203125" defaultRowHeight="15"/>
  <cols>
    <col min="1" max="1" width="18.6640625" bestFit="1" customWidth="1"/>
    <col min="5" max="5" width="9" bestFit="1" customWidth="1"/>
    <col min="6" max="7" width="10.33203125" bestFit="1" customWidth="1"/>
    <col min="10" max="10" width="9" bestFit="1" customWidth="1"/>
  </cols>
  <sheetData>
    <row r="1" spans="1:10">
      <c r="A1" s="32" t="s">
        <v>7</v>
      </c>
      <c r="B1" s="33" t="s">
        <v>2</v>
      </c>
      <c r="C1" s="29" t="s">
        <v>3</v>
      </c>
      <c r="D1" s="29" t="s">
        <v>54</v>
      </c>
      <c r="E1" s="34" t="s">
        <v>4</v>
      </c>
      <c r="F1" s="35" t="s">
        <v>5</v>
      </c>
      <c r="G1" s="35" t="s">
        <v>6</v>
      </c>
    </row>
    <row r="2" spans="1:10">
      <c r="A2" s="6">
        <v>39162</v>
      </c>
      <c r="B2" s="3" t="s">
        <v>8</v>
      </c>
      <c r="C2" s="3" t="s">
        <v>9</v>
      </c>
      <c r="D2" s="3" t="s">
        <v>55</v>
      </c>
      <c r="E2" s="3">
        <v>16</v>
      </c>
      <c r="F2" s="7">
        <v>19269.685163999999</v>
      </c>
      <c r="G2" s="7">
        <v>18982.847759558852</v>
      </c>
      <c r="J2" s="11" t="s">
        <v>212</v>
      </c>
    </row>
    <row r="3" spans="1:10">
      <c r="A3" s="6">
        <v>39200</v>
      </c>
      <c r="B3" s="3" t="s">
        <v>10</v>
      </c>
      <c r="C3" s="3" t="s">
        <v>9</v>
      </c>
      <c r="D3" s="3" t="s">
        <v>56</v>
      </c>
      <c r="E3" s="3">
        <v>40</v>
      </c>
      <c r="F3" s="7">
        <v>39465.169800000003</v>
      </c>
      <c r="G3" s="7">
        <v>40893.083149311875</v>
      </c>
    </row>
    <row r="4" spans="1:10">
      <c r="A4" s="6">
        <v>39200</v>
      </c>
      <c r="B4" s="3" t="s">
        <v>11</v>
      </c>
      <c r="C4" s="3" t="s">
        <v>9</v>
      </c>
      <c r="D4" s="3" t="s">
        <v>57</v>
      </c>
      <c r="E4" s="3">
        <v>20</v>
      </c>
      <c r="F4" s="7">
        <v>21015.944745000001</v>
      </c>
      <c r="G4" s="7">
        <v>22294.085220814908</v>
      </c>
    </row>
    <row r="5" spans="1:10">
      <c r="A5" s="6">
        <v>39233</v>
      </c>
      <c r="B5" s="3" t="s">
        <v>12</v>
      </c>
      <c r="C5" s="3" t="s">
        <v>9</v>
      </c>
      <c r="D5" s="3" t="s">
        <v>58</v>
      </c>
      <c r="E5" s="3">
        <v>20</v>
      </c>
      <c r="F5" s="7">
        <v>23710.258592999999</v>
      </c>
      <c r="G5" s="7">
        <v>24318.374117613792</v>
      </c>
      <c r="J5" s="12" t="b">
        <f>G2&gt;F2</f>
        <v>0</v>
      </c>
    </row>
    <row r="6" spans="1:10">
      <c r="A6" s="6">
        <v>39246</v>
      </c>
      <c r="B6" s="3" t="s">
        <v>13</v>
      </c>
      <c r="C6" s="3" t="s">
        <v>9</v>
      </c>
      <c r="D6" s="3" t="s">
        <v>59</v>
      </c>
      <c r="E6" s="3">
        <v>16</v>
      </c>
      <c r="F6" s="7">
        <v>20015.072431199998</v>
      </c>
      <c r="G6" s="7">
        <v>20256.694699447638</v>
      </c>
      <c r="I6" s="2"/>
    </row>
    <row r="7" spans="1:10">
      <c r="A7" s="6">
        <v>39279</v>
      </c>
      <c r="B7" s="3" t="s">
        <v>14</v>
      </c>
      <c r="C7" s="3" t="s">
        <v>9</v>
      </c>
      <c r="D7" s="3" t="s">
        <v>60</v>
      </c>
      <c r="E7" s="3">
        <v>200</v>
      </c>
      <c r="F7" s="7">
        <v>40014.12141</v>
      </c>
      <c r="G7" s="7">
        <v>43537.557757683368</v>
      </c>
    </row>
    <row r="8" spans="1:10">
      <c r="A8" s="6">
        <v>39339</v>
      </c>
      <c r="B8" s="3" t="s">
        <v>15</v>
      </c>
      <c r="C8" s="3" t="s">
        <v>9</v>
      </c>
      <c r="D8" s="3" t="s">
        <v>61</v>
      </c>
      <c r="E8" s="3">
        <v>100</v>
      </c>
      <c r="F8" s="7">
        <v>21423.94932</v>
      </c>
      <c r="G8" s="7">
        <v>22917.339613203356</v>
      </c>
    </row>
    <row r="9" spans="1:10">
      <c r="A9" s="6">
        <v>39374</v>
      </c>
      <c r="B9" s="3" t="s">
        <v>16</v>
      </c>
      <c r="C9" s="3" t="s">
        <v>9</v>
      </c>
      <c r="D9" s="3" t="s">
        <v>62</v>
      </c>
      <c r="E9" s="3">
        <v>200</v>
      </c>
      <c r="F9" s="7">
        <v>40014.12141</v>
      </c>
      <c r="G9" s="7">
        <v>44258.364560249865</v>
      </c>
    </row>
    <row r="10" spans="1:10">
      <c r="A10" s="6">
        <v>39406</v>
      </c>
      <c r="B10" s="3" t="s">
        <v>17</v>
      </c>
      <c r="C10" s="3" t="s">
        <v>9</v>
      </c>
      <c r="D10" s="3" t="s">
        <v>57</v>
      </c>
      <c r="E10" s="3">
        <v>400</v>
      </c>
      <c r="F10" s="7">
        <v>84271.490399999995</v>
      </c>
      <c r="G10" s="7">
        <v>92391.153643258687</v>
      </c>
    </row>
    <row r="11" spans="1:10">
      <c r="A11" s="6">
        <v>39162</v>
      </c>
      <c r="B11" s="3" t="s">
        <v>18</v>
      </c>
      <c r="C11" s="3" t="s">
        <v>19</v>
      </c>
      <c r="D11" s="3" t="s">
        <v>63</v>
      </c>
      <c r="E11" s="3">
        <v>212</v>
      </c>
      <c r="F11" s="7">
        <v>48705.657414599991</v>
      </c>
      <c r="G11" s="7">
        <v>51700.030820578511</v>
      </c>
    </row>
    <row r="12" spans="1:10">
      <c r="A12" s="6">
        <v>39200</v>
      </c>
      <c r="B12" s="3" t="s">
        <v>20</v>
      </c>
      <c r="C12" s="3" t="s">
        <v>19</v>
      </c>
      <c r="D12" s="3" t="s">
        <v>64</v>
      </c>
      <c r="E12" s="3">
        <v>224</v>
      </c>
      <c r="F12" s="7">
        <v>47192.034624</v>
      </c>
      <c r="G12" s="7">
        <v>50558.498384562939</v>
      </c>
    </row>
    <row r="13" spans="1:10">
      <c r="A13" s="6">
        <v>39200</v>
      </c>
      <c r="B13" s="3" t="s">
        <v>21</v>
      </c>
      <c r="C13" s="3" t="s">
        <v>19</v>
      </c>
      <c r="D13" s="3" t="s">
        <v>65</v>
      </c>
      <c r="E13" s="3">
        <v>92</v>
      </c>
      <c r="F13" s="7">
        <v>21136.417368599999</v>
      </c>
      <c r="G13" s="7">
        <v>22115.228953458598</v>
      </c>
    </row>
    <row r="14" spans="1:10">
      <c r="A14" s="6">
        <v>39233</v>
      </c>
      <c r="B14" s="3" t="s">
        <v>22</v>
      </c>
      <c r="C14" s="3" t="s">
        <v>19</v>
      </c>
      <c r="D14" s="3" t="s">
        <v>66</v>
      </c>
      <c r="E14" s="3">
        <v>100</v>
      </c>
      <c r="F14" s="7">
        <v>27499.508355000002</v>
      </c>
      <c r="G14" s="7">
        <v>30712.177367957313</v>
      </c>
    </row>
    <row r="15" spans="1:10">
      <c r="A15" s="6">
        <v>39246</v>
      </c>
      <c r="B15" s="3" t="s">
        <v>23</v>
      </c>
      <c r="C15" s="3" t="s">
        <v>19</v>
      </c>
      <c r="D15" s="3" t="s">
        <v>67</v>
      </c>
      <c r="E15" s="3">
        <v>140</v>
      </c>
      <c r="F15" s="7">
        <v>29993.529048</v>
      </c>
      <c r="G15" s="7">
        <v>32726.657776180989</v>
      </c>
    </row>
    <row r="16" spans="1:10">
      <c r="A16" s="6">
        <v>39279</v>
      </c>
      <c r="B16" s="3" t="s">
        <v>24</v>
      </c>
      <c r="C16" s="3" t="s">
        <v>19</v>
      </c>
      <c r="D16" s="3" t="s">
        <v>68</v>
      </c>
      <c r="E16" s="3">
        <v>108</v>
      </c>
      <c r="F16" s="7">
        <v>34682.76271979999</v>
      </c>
      <c r="G16" s="7">
        <v>35738.658109519878</v>
      </c>
    </row>
    <row r="17" spans="1:7">
      <c r="A17" s="6">
        <v>39339</v>
      </c>
      <c r="B17" s="3" t="s">
        <v>25</v>
      </c>
      <c r="C17" s="3" t="s">
        <v>19</v>
      </c>
      <c r="D17" s="3" t="s">
        <v>69</v>
      </c>
      <c r="E17" s="3">
        <v>72</v>
      </c>
      <c r="F17" s="7">
        <v>12492.951721200001</v>
      </c>
      <c r="G17" s="7">
        <v>11098.923925167686</v>
      </c>
    </row>
    <row r="18" spans="1:7">
      <c r="A18" s="6">
        <v>39374</v>
      </c>
      <c r="B18" s="3" t="s">
        <v>26</v>
      </c>
      <c r="C18" s="3" t="s">
        <v>19</v>
      </c>
      <c r="D18" s="3" t="s">
        <v>63</v>
      </c>
      <c r="E18" s="3">
        <v>32</v>
      </c>
      <c r="F18" s="7">
        <v>30449.307249599999</v>
      </c>
      <c r="G18" s="7">
        <v>29398.00409440554</v>
      </c>
    </row>
    <row r="19" spans="1:7">
      <c r="A19" s="6">
        <v>39406</v>
      </c>
      <c r="B19" s="3" t="s">
        <v>27</v>
      </c>
      <c r="C19" s="3" t="s">
        <v>19</v>
      </c>
      <c r="D19" s="3" t="s">
        <v>70</v>
      </c>
      <c r="E19" s="3">
        <v>12</v>
      </c>
      <c r="F19" s="7">
        <v>12125.302507799999</v>
      </c>
      <c r="G19" s="7">
        <v>11641.50878367756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BC31-37B0-9041-A795-39CC0F40C58C}">
  <dimension ref="B1:F32"/>
  <sheetViews>
    <sheetView showGridLines="0" tabSelected="1" zoomScale="120" zoomScaleNormal="120" workbookViewId="0">
      <selection activeCell="G4" sqref="G4"/>
    </sheetView>
  </sheetViews>
  <sheetFormatPr baseColWidth="10" defaultColWidth="9" defaultRowHeight="14"/>
  <cols>
    <col min="1" max="1" width="4" style="37" customWidth="1"/>
    <col min="2" max="5" width="9.5" style="37" customWidth="1"/>
    <col min="6" max="6" width="23.33203125" style="37" customWidth="1"/>
    <col min="7" max="16384" width="9" style="37"/>
  </cols>
  <sheetData>
    <row r="1" spans="2:6" ht="31.5" customHeight="1">
      <c r="B1" s="51" t="s">
        <v>248</v>
      </c>
      <c r="C1" s="51"/>
      <c r="D1" s="51"/>
      <c r="E1" s="51"/>
      <c r="F1" s="51"/>
    </row>
    <row r="2" spans="2:6" ht="31.5" customHeight="1">
      <c r="F2" s="44" t="s">
        <v>247</v>
      </c>
    </row>
    <row r="3" spans="2:6" ht="31.5" customHeight="1">
      <c r="F3" s="45">
        <f>SUBTOTAL(9,E:E)</f>
        <v>38368.750232999999</v>
      </c>
    </row>
    <row r="4" spans="2:6" ht="31.5" customHeight="1">
      <c r="F4" s="44" t="s">
        <v>246</v>
      </c>
    </row>
    <row r="5" spans="2:6" ht="29.25" customHeight="1">
      <c r="F5" s="43">
        <f>F3/SUM(E:E)</f>
        <v>0.17278723922763192</v>
      </c>
    </row>
    <row r="7" spans="2:6" ht="67" customHeight="1"/>
    <row r="8" spans="2:6">
      <c r="B8" s="42" t="s">
        <v>245</v>
      </c>
      <c r="C8" s="42" t="s">
        <v>244</v>
      </c>
      <c r="D8" s="41" t="s">
        <v>243</v>
      </c>
      <c r="E8" s="40" t="s">
        <v>242</v>
      </c>
      <c r="F8" s="40" t="s">
        <v>241</v>
      </c>
    </row>
    <row r="9" spans="2:6" hidden="1">
      <c r="B9" s="39" t="s">
        <v>9</v>
      </c>
      <c r="C9" s="39" t="s">
        <v>238</v>
      </c>
      <c r="D9" s="39">
        <v>198</v>
      </c>
      <c r="E9" s="38">
        <v>7667.2219734</v>
      </c>
      <c r="F9" s="38">
        <v>6409.0882064494399</v>
      </c>
    </row>
    <row r="10" spans="2:6" hidden="1">
      <c r="B10" s="39" t="s">
        <v>9</v>
      </c>
      <c r="C10" s="39" t="s">
        <v>237</v>
      </c>
      <c r="D10" s="39">
        <v>360</v>
      </c>
      <c r="E10" s="38">
        <v>13673.346047999999</v>
      </c>
      <c r="F10" s="38">
        <v>9725.4073843265905</v>
      </c>
    </row>
    <row r="11" spans="2:6" hidden="1">
      <c r="B11" s="39" t="s">
        <v>9</v>
      </c>
      <c r="C11" s="39" t="s">
        <v>236</v>
      </c>
      <c r="D11" s="39">
        <v>24</v>
      </c>
      <c r="E11" s="38">
        <v>7604.0183556000002</v>
      </c>
      <c r="F11" s="38">
        <v>7438.0876782110799</v>
      </c>
    </row>
    <row r="12" spans="2:6" hidden="1">
      <c r="B12" s="39" t="s">
        <v>9</v>
      </c>
      <c r="C12" s="39" t="s">
        <v>235</v>
      </c>
      <c r="D12" s="39">
        <v>90</v>
      </c>
      <c r="E12" s="38">
        <v>7083.7012484999996</v>
      </c>
      <c r="F12" s="38">
        <v>5560.0793580134196</v>
      </c>
    </row>
    <row r="13" spans="2:6" hidden="1">
      <c r="B13" s="39" t="s">
        <v>9</v>
      </c>
      <c r="C13" s="39" t="s">
        <v>234</v>
      </c>
      <c r="D13" s="39">
        <v>30</v>
      </c>
      <c r="E13" s="38">
        <v>2959.8877349999998</v>
      </c>
      <c r="F13" s="38">
        <v>2922.39404203288</v>
      </c>
    </row>
    <row r="14" spans="2:6" hidden="1">
      <c r="B14" s="39" t="s">
        <v>9</v>
      </c>
      <c r="C14" s="39" t="s">
        <v>232</v>
      </c>
      <c r="D14" s="39">
        <v>200</v>
      </c>
      <c r="E14" s="38">
        <v>40014.12141</v>
      </c>
      <c r="F14" s="38">
        <v>43537.557757683397</v>
      </c>
    </row>
    <row r="15" spans="2:6">
      <c r="B15" s="39" t="s">
        <v>240</v>
      </c>
      <c r="C15" s="39" t="s">
        <v>238</v>
      </c>
      <c r="D15" s="39">
        <v>8</v>
      </c>
      <c r="E15" s="38">
        <v>5026.6163640000004</v>
      </c>
      <c r="F15" s="38">
        <v>4666.4109788785499</v>
      </c>
    </row>
    <row r="16" spans="2:6">
      <c r="B16" s="39" t="s">
        <v>240</v>
      </c>
      <c r="C16" s="39" t="s">
        <v>237</v>
      </c>
      <c r="D16" s="39">
        <v>100</v>
      </c>
      <c r="E16" s="38">
        <v>111.27397499999999</v>
      </c>
      <c r="F16" s="38">
        <v>98.9799604616572</v>
      </c>
    </row>
    <row r="17" spans="2:6">
      <c r="B17" s="39" t="s">
        <v>240</v>
      </c>
      <c r="C17" s="39" t="s">
        <v>236</v>
      </c>
      <c r="D17" s="39">
        <v>50</v>
      </c>
      <c r="E17" s="38">
        <v>5875.2658799999999</v>
      </c>
      <c r="F17" s="38">
        <v>6486.5598492149802</v>
      </c>
    </row>
    <row r="18" spans="2:6">
      <c r="B18" s="39" t="s">
        <v>240</v>
      </c>
      <c r="C18" s="39" t="s">
        <v>235</v>
      </c>
      <c r="D18" s="39">
        <v>30</v>
      </c>
      <c r="E18" s="38">
        <v>3364.9250040000002</v>
      </c>
      <c r="F18" s="38">
        <v>3756.3306342866799</v>
      </c>
    </row>
    <row r="19" spans="2:6">
      <c r="B19" s="39" t="s">
        <v>240</v>
      </c>
      <c r="C19" s="39" t="s">
        <v>234</v>
      </c>
      <c r="D19" s="39">
        <v>60</v>
      </c>
      <c r="E19" s="38">
        <v>12462.6852</v>
      </c>
      <c r="F19" s="38">
        <v>8455.6914217042795</v>
      </c>
    </row>
    <row r="20" spans="2:6">
      <c r="B20" s="39" t="s">
        <v>240</v>
      </c>
      <c r="C20" s="39" t="s">
        <v>232</v>
      </c>
      <c r="D20" s="39">
        <v>100</v>
      </c>
      <c r="E20" s="38">
        <v>11527.98381</v>
      </c>
      <c r="F20" s="38">
        <v>8436.2968936576999</v>
      </c>
    </row>
    <row r="21" spans="2:6" hidden="1">
      <c r="B21" s="39" t="s">
        <v>239</v>
      </c>
      <c r="C21" s="39" t="s">
        <v>238</v>
      </c>
      <c r="D21" s="39">
        <v>175</v>
      </c>
      <c r="E21" s="38">
        <v>3102.0060749999998</v>
      </c>
      <c r="F21" s="38">
        <v>3612.8624645145501</v>
      </c>
    </row>
    <row r="22" spans="2:6" hidden="1">
      <c r="B22" s="39" t="s">
        <v>239</v>
      </c>
      <c r="C22" s="39" t="s">
        <v>237</v>
      </c>
      <c r="D22" s="39">
        <v>32</v>
      </c>
      <c r="E22" s="38">
        <v>4583.8630739999999</v>
      </c>
      <c r="F22" s="38">
        <v>3218.5849513687699</v>
      </c>
    </row>
    <row r="23" spans="2:6" hidden="1">
      <c r="B23" s="39" t="s">
        <v>239</v>
      </c>
      <c r="C23" s="39" t="s">
        <v>236</v>
      </c>
      <c r="D23" s="39">
        <v>42</v>
      </c>
      <c r="E23" s="38">
        <v>4991.6333880000002</v>
      </c>
      <c r="F23" s="38">
        <v>4227.1409825605597</v>
      </c>
    </row>
    <row r="24" spans="2:6" hidden="1">
      <c r="B24" s="39" t="s">
        <v>239</v>
      </c>
      <c r="C24" s="39" t="s">
        <v>235</v>
      </c>
      <c r="D24" s="39">
        <v>156</v>
      </c>
      <c r="E24" s="38">
        <v>2268.2087064000002</v>
      </c>
      <c r="F24" s="38">
        <v>1787.6016475481299</v>
      </c>
    </row>
    <row r="25" spans="2:6" hidden="1">
      <c r="B25" s="39" t="s">
        <v>239</v>
      </c>
      <c r="C25" s="39" t="s">
        <v>234</v>
      </c>
      <c r="D25" s="39">
        <v>30</v>
      </c>
      <c r="E25" s="38">
        <v>9547.3070549999993</v>
      </c>
      <c r="F25" s="38">
        <v>9937.9313174283307</v>
      </c>
    </row>
    <row r="26" spans="2:6" hidden="1">
      <c r="B26" s="39" t="s">
        <v>239</v>
      </c>
      <c r="C26" s="39" t="s">
        <v>232</v>
      </c>
      <c r="D26" s="39">
        <v>765</v>
      </c>
      <c r="E26" s="38">
        <v>10725.69845025</v>
      </c>
      <c r="F26" s="38">
        <v>9291.7740876503794</v>
      </c>
    </row>
    <row r="27" spans="2:6" hidden="1">
      <c r="B27" s="39" t="s">
        <v>233</v>
      </c>
      <c r="C27" s="39" t="s">
        <v>238</v>
      </c>
      <c r="D27" s="39">
        <v>42</v>
      </c>
      <c r="E27" s="38">
        <v>18859.181805</v>
      </c>
      <c r="F27" s="38">
        <v>17168.3242030332</v>
      </c>
    </row>
    <row r="28" spans="2:6" hidden="1">
      <c r="B28" s="39" t="s">
        <v>233</v>
      </c>
      <c r="C28" s="39" t="s">
        <v>237</v>
      </c>
      <c r="D28" s="39">
        <v>600</v>
      </c>
      <c r="E28" s="38">
        <v>4298.7894615384603</v>
      </c>
      <c r="F28" s="38">
        <v>4622.7805950950597</v>
      </c>
    </row>
    <row r="29" spans="2:6" hidden="1">
      <c r="B29" s="39" t="s">
        <v>233</v>
      </c>
      <c r="C29" s="39" t="s">
        <v>236</v>
      </c>
      <c r="D29" s="39">
        <v>200</v>
      </c>
      <c r="E29" s="38">
        <v>27096.188999999998</v>
      </c>
      <c r="F29" s="38">
        <v>20494.539461474498</v>
      </c>
    </row>
    <row r="30" spans="2:6" hidden="1">
      <c r="B30" s="39" t="s">
        <v>233</v>
      </c>
      <c r="C30" s="39" t="s">
        <v>235</v>
      </c>
      <c r="D30" s="39">
        <v>100</v>
      </c>
      <c r="E30" s="38">
        <v>11527.98381</v>
      </c>
      <c r="F30" s="38">
        <v>8436.2968936576999</v>
      </c>
    </row>
    <row r="31" spans="2:6" hidden="1">
      <c r="B31" s="39" t="s">
        <v>233</v>
      </c>
      <c r="C31" s="39" t="s">
        <v>234</v>
      </c>
      <c r="D31" s="39">
        <v>175</v>
      </c>
      <c r="E31" s="38">
        <v>3102.0060749999998</v>
      </c>
      <c r="F31" s="38">
        <v>3612.8624645145501</v>
      </c>
    </row>
    <row r="32" spans="2:6" hidden="1">
      <c r="B32" s="39" t="s">
        <v>233</v>
      </c>
      <c r="C32" s="39" t="s">
        <v>232</v>
      </c>
      <c r="D32" s="39">
        <v>32</v>
      </c>
      <c r="E32" s="38">
        <v>4583.8630739999999</v>
      </c>
      <c r="F32" s="38">
        <v>3218.5849513687699</v>
      </c>
    </row>
  </sheetData>
  <mergeCells count="1">
    <mergeCell ref="B1:F1"/>
  </mergeCells>
  <phoneticPr fontId="1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D433-1ABE-E443-8C49-C673C31118FD}">
  <dimension ref="A1:K19"/>
  <sheetViews>
    <sheetView zoomScale="150" zoomScaleNormal="150" workbookViewId="0">
      <selection activeCell="E24" sqref="E24"/>
    </sheetView>
  </sheetViews>
  <sheetFormatPr baseColWidth="10" defaultRowHeight="15"/>
  <cols>
    <col min="1" max="16384" width="10.83203125" style="46"/>
  </cols>
  <sheetData>
    <row r="1" spans="1:11">
      <c r="A1" s="48" t="s">
        <v>287</v>
      </c>
      <c r="B1" s="48" t="s">
        <v>286</v>
      </c>
      <c r="C1" s="48" t="s">
        <v>285</v>
      </c>
      <c r="D1" s="48" t="s">
        <v>284</v>
      </c>
      <c r="E1" s="48" t="s">
        <v>4</v>
      </c>
      <c r="F1" s="48" t="s">
        <v>283</v>
      </c>
      <c r="G1" s="48" t="s">
        <v>282</v>
      </c>
      <c r="H1" s="48" t="s">
        <v>281</v>
      </c>
      <c r="I1" s="48" t="s">
        <v>280</v>
      </c>
      <c r="J1" s="48" t="s">
        <v>279</v>
      </c>
      <c r="K1" s="48" t="s">
        <v>278</v>
      </c>
    </row>
    <row r="2" spans="1:11">
      <c r="A2" s="46">
        <f>SUBTOTAL(3,$B$2:B2)</f>
        <v>1</v>
      </c>
      <c r="B2" s="47">
        <v>10248</v>
      </c>
      <c r="C2" s="46" t="s">
        <v>256</v>
      </c>
      <c r="D2" s="46">
        <v>14</v>
      </c>
      <c r="E2" s="46">
        <v>12</v>
      </c>
      <c r="F2" s="46">
        <v>0</v>
      </c>
      <c r="G2" s="46">
        <v>168</v>
      </c>
      <c r="H2" s="46" t="s">
        <v>251</v>
      </c>
      <c r="I2" s="46">
        <v>5</v>
      </c>
      <c r="J2" s="46" t="s">
        <v>262</v>
      </c>
      <c r="K2" s="46" t="s">
        <v>249</v>
      </c>
    </row>
    <row r="3" spans="1:11">
      <c r="A3" s="46">
        <f>SUBTOTAL(3,$B$2:B3)</f>
        <v>2</v>
      </c>
      <c r="B3" s="47">
        <v>10250</v>
      </c>
      <c r="C3" s="46" t="s">
        <v>236</v>
      </c>
      <c r="D3" s="46">
        <v>7.7</v>
      </c>
      <c r="E3" s="46">
        <v>10</v>
      </c>
      <c r="F3" s="46">
        <v>0</v>
      </c>
      <c r="G3" s="46">
        <v>77</v>
      </c>
      <c r="H3" s="46" t="s">
        <v>275</v>
      </c>
      <c r="I3" s="46">
        <v>4</v>
      </c>
      <c r="J3" s="46" t="s">
        <v>267</v>
      </c>
      <c r="K3" s="46" t="s">
        <v>249</v>
      </c>
    </row>
    <row r="4" spans="1:11">
      <c r="A4" s="46">
        <f>SUBTOTAL(3,$B$2:B4)</f>
        <v>3</v>
      </c>
      <c r="B4" s="47">
        <v>10251</v>
      </c>
      <c r="C4" s="46" t="s">
        <v>252</v>
      </c>
      <c r="D4" s="46">
        <v>16.8</v>
      </c>
      <c r="E4" s="46">
        <v>6</v>
      </c>
      <c r="F4" s="46">
        <v>0.05</v>
      </c>
      <c r="G4" s="46">
        <v>95.76</v>
      </c>
      <c r="H4" s="46" t="s">
        <v>277</v>
      </c>
      <c r="I4" s="46">
        <v>3</v>
      </c>
      <c r="J4" s="46" t="s">
        <v>254</v>
      </c>
      <c r="K4" s="46" t="s">
        <v>253</v>
      </c>
    </row>
    <row r="5" spans="1:11">
      <c r="A5" s="46">
        <f>SUBTOTAL(3,$B$2:B5)</f>
        <v>4</v>
      </c>
      <c r="B5" s="47">
        <v>10252</v>
      </c>
      <c r="C5" s="46" t="s">
        <v>236</v>
      </c>
      <c r="D5" s="46">
        <v>64.8</v>
      </c>
      <c r="E5" s="46">
        <v>40</v>
      </c>
      <c r="F5" s="46">
        <v>0.05</v>
      </c>
      <c r="G5" s="46">
        <v>2462.4</v>
      </c>
      <c r="H5" s="46" t="s">
        <v>276</v>
      </c>
      <c r="I5" s="46">
        <v>4</v>
      </c>
      <c r="J5" s="46" t="s">
        <v>267</v>
      </c>
      <c r="K5" s="46" t="s">
        <v>249</v>
      </c>
    </row>
    <row r="6" spans="1:11">
      <c r="A6" s="46">
        <f>SUBTOTAL(3,$B$2:B6)</f>
        <v>5</v>
      </c>
      <c r="B6" s="47">
        <v>10253</v>
      </c>
      <c r="C6" s="46" t="s">
        <v>256</v>
      </c>
      <c r="D6" s="46">
        <v>10</v>
      </c>
      <c r="E6" s="46">
        <v>20</v>
      </c>
      <c r="F6" s="46">
        <v>0</v>
      </c>
      <c r="G6" s="46">
        <v>200</v>
      </c>
      <c r="H6" s="46" t="s">
        <v>275</v>
      </c>
      <c r="I6" s="46">
        <v>3</v>
      </c>
      <c r="J6" s="46" t="s">
        <v>254</v>
      </c>
      <c r="K6" s="46" t="s">
        <v>253</v>
      </c>
    </row>
    <row r="7" spans="1:11">
      <c r="A7" s="46">
        <f>SUBTOTAL(3,$B$2:B7)</f>
        <v>6</v>
      </c>
      <c r="B7" s="47">
        <v>10254</v>
      </c>
      <c r="C7" s="46" t="s">
        <v>256</v>
      </c>
      <c r="D7" s="46">
        <v>3.6</v>
      </c>
      <c r="E7" s="46">
        <v>15</v>
      </c>
      <c r="F7" s="46">
        <v>0.15</v>
      </c>
      <c r="G7" s="46">
        <v>45.9</v>
      </c>
      <c r="H7" s="46" t="s">
        <v>274</v>
      </c>
      <c r="I7" s="46">
        <v>5</v>
      </c>
      <c r="J7" s="46" t="s">
        <v>262</v>
      </c>
      <c r="K7" s="46" t="s">
        <v>249</v>
      </c>
    </row>
    <row r="8" spans="1:11">
      <c r="A8" s="46">
        <f>SUBTOTAL(3,$B$2:B8)</f>
        <v>7</v>
      </c>
      <c r="B8" s="47">
        <v>10255</v>
      </c>
      <c r="C8" s="46" t="s">
        <v>234</v>
      </c>
      <c r="D8" s="46">
        <v>15.2</v>
      </c>
      <c r="E8" s="46">
        <v>20</v>
      </c>
      <c r="F8" s="46">
        <v>0</v>
      </c>
      <c r="G8" s="46">
        <v>304</v>
      </c>
      <c r="H8" s="46" t="s">
        <v>273</v>
      </c>
      <c r="I8" s="46">
        <v>9</v>
      </c>
      <c r="J8" s="46" t="s">
        <v>272</v>
      </c>
      <c r="K8" s="46" t="s">
        <v>253</v>
      </c>
    </row>
    <row r="9" spans="1:11">
      <c r="A9" s="46">
        <f>SUBTOTAL(3,$B$2:B9)</f>
        <v>8</v>
      </c>
      <c r="B9" s="47">
        <v>10264</v>
      </c>
      <c r="C9" s="46" t="s">
        <v>234</v>
      </c>
      <c r="D9" s="46">
        <v>15.2</v>
      </c>
      <c r="E9" s="46">
        <v>35</v>
      </c>
      <c r="F9" s="46">
        <v>0</v>
      </c>
      <c r="G9" s="46">
        <v>532</v>
      </c>
      <c r="H9" s="46" t="s">
        <v>271</v>
      </c>
      <c r="I9" s="46">
        <v>6</v>
      </c>
      <c r="J9" s="46" t="s">
        <v>250</v>
      </c>
      <c r="K9" s="46" t="s">
        <v>249</v>
      </c>
    </row>
    <row r="10" spans="1:11">
      <c r="A10" s="46">
        <f>SUBTOTAL(3,$B$2:B10)</f>
        <v>9</v>
      </c>
      <c r="B10" s="47">
        <v>10265</v>
      </c>
      <c r="C10" s="46" t="s">
        <v>256</v>
      </c>
      <c r="D10" s="46">
        <v>31.2</v>
      </c>
      <c r="E10" s="46">
        <v>30</v>
      </c>
      <c r="F10" s="46">
        <v>0</v>
      </c>
      <c r="G10" s="46">
        <v>936</v>
      </c>
      <c r="H10" s="46" t="s">
        <v>270</v>
      </c>
      <c r="I10" s="46">
        <v>2</v>
      </c>
      <c r="J10" s="46" t="s">
        <v>269</v>
      </c>
      <c r="K10" s="46" t="s">
        <v>264</v>
      </c>
    </row>
    <row r="11" spans="1:11">
      <c r="A11" s="46">
        <f>SUBTOTAL(3,$B$2:B11)</f>
        <v>10</v>
      </c>
      <c r="B11" s="47">
        <v>10266</v>
      </c>
      <c r="C11" s="46" t="s">
        <v>259</v>
      </c>
      <c r="D11" s="46">
        <v>30.4</v>
      </c>
      <c r="E11" s="46">
        <v>12</v>
      </c>
      <c r="F11" s="46">
        <v>0.05</v>
      </c>
      <c r="G11" s="46">
        <v>346.56</v>
      </c>
      <c r="H11" s="46" t="s">
        <v>261</v>
      </c>
      <c r="I11" s="46">
        <v>3</v>
      </c>
      <c r="J11" s="46" t="s">
        <v>254</v>
      </c>
      <c r="K11" s="46" t="s">
        <v>253</v>
      </c>
    </row>
    <row r="12" spans="1:11">
      <c r="A12" s="46">
        <f>SUBTOTAL(3,$B$2:B12)</f>
        <v>11</v>
      </c>
      <c r="B12" s="47">
        <v>10267</v>
      </c>
      <c r="C12" s="46" t="s">
        <v>259</v>
      </c>
      <c r="D12" s="46">
        <v>14.7</v>
      </c>
      <c r="E12" s="46">
        <v>50</v>
      </c>
      <c r="F12" s="46">
        <v>0</v>
      </c>
      <c r="G12" s="46">
        <v>735</v>
      </c>
      <c r="H12" s="46" t="s">
        <v>268</v>
      </c>
      <c r="I12" s="46">
        <v>4</v>
      </c>
      <c r="J12" s="46" t="s">
        <v>267</v>
      </c>
      <c r="K12" s="46" t="s">
        <v>249</v>
      </c>
    </row>
    <row r="13" spans="1:11">
      <c r="A13" s="46">
        <f>SUBTOTAL(3,$B$2:B13)</f>
        <v>12</v>
      </c>
      <c r="B13" s="47">
        <v>10268</v>
      </c>
      <c r="C13" s="46" t="s">
        <v>252</v>
      </c>
      <c r="D13" s="46">
        <v>99</v>
      </c>
      <c r="E13" s="46">
        <v>10</v>
      </c>
      <c r="F13" s="46">
        <v>0</v>
      </c>
      <c r="G13" s="46">
        <v>990</v>
      </c>
      <c r="H13" s="46" t="s">
        <v>266</v>
      </c>
      <c r="I13" s="46">
        <v>8</v>
      </c>
      <c r="J13" s="46" t="s">
        <v>265</v>
      </c>
      <c r="K13" s="46" t="s">
        <v>264</v>
      </c>
    </row>
    <row r="14" spans="1:11">
      <c r="A14" s="46">
        <f>SUBTOTAL(3,$B$2:B14)</f>
        <v>13</v>
      </c>
      <c r="B14" s="47">
        <v>10269</v>
      </c>
      <c r="C14" s="46" t="s">
        <v>259</v>
      </c>
      <c r="D14" s="46">
        <v>2</v>
      </c>
      <c r="E14" s="46">
        <v>60</v>
      </c>
      <c r="F14" s="46">
        <v>0.05</v>
      </c>
      <c r="G14" s="46">
        <v>114</v>
      </c>
      <c r="H14" s="46" t="s">
        <v>263</v>
      </c>
      <c r="I14" s="46">
        <v>5</v>
      </c>
      <c r="J14" s="46" t="s">
        <v>262</v>
      </c>
      <c r="K14" s="46" t="s">
        <v>249</v>
      </c>
    </row>
    <row r="15" spans="1:11">
      <c r="A15" s="46">
        <f>SUBTOTAL(3,$B$2:B15)</f>
        <v>14</v>
      </c>
      <c r="B15" s="47">
        <v>10270</v>
      </c>
      <c r="C15" s="46" t="s">
        <v>252</v>
      </c>
      <c r="D15" s="46">
        <v>15.2</v>
      </c>
      <c r="E15" s="46">
        <v>30</v>
      </c>
      <c r="F15" s="46">
        <v>0</v>
      </c>
      <c r="G15" s="46">
        <v>456</v>
      </c>
      <c r="H15" s="46" t="s">
        <v>261</v>
      </c>
      <c r="I15" s="46">
        <v>1</v>
      </c>
      <c r="J15" s="46" t="s">
        <v>260</v>
      </c>
      <c r="K15" s="46" t="s">
        <v>253</v>
      </c>
    </row>
    <row r="16" spans="1:11">
      <c r="A16" s="46">
        <f>SUBTOTAL(3,$B$2:B16)</f>
        <v>15</v>
      </c>
      <c r="B16" s="47">
        <v>10271</v>
      </c>
      <c r="C16" s="46" t="s">
        <v>259</v>
      </c>
      <c r="D16" s="46">
        <v>2</v>
      </c>
      <c r="E16" s="46">
        <v>24</v>
      </c>
      <c r="F16" s="46">
        <v>0</v>
      </c>
      <c r="G16" s="46">
        <v>48</v>
      </c>
      <c r="H16" s="46" t="s">
        <v>258</v>
      </c>
      <c r="I16" s="46">
        <v>6</v>
      </c>
      <c r="J16" s="46" t="s">
        <v>250</v>
      </c>
      <c r="K16" s="46" t="s">
        <v>249</v>
      </c>
    </row>
    <row r="17" spans="1:11">
      <c r="A17" s="46">
        <f>SUBTOTAL(3,$B$2:B17)</f>
        <v>16</v>
      </c>
      <c r="B17" s="47">
        <v>10272</v>
      </c>
      <c r="C17" s="46" t="s">
        <v>236</v>
      </c>
      <c r="D17" s="46">
        <v>64.8</v>
      </c>
      <c r="E17" s="46">
        <v>6</v>
      </c>
      <c r="F17" s="46">
        <v>0</v>
      </c>
      <c r="G17" s="46">
        <v>388.8</v>
      </c>
      <c r="H17" s="46" t="s">
        <v>257</v>
      </c>
      <c r="I17" s="46">
        <v>6</v>
      </c>
      <c r="J17" s="46" t="s">
        <v>250</v>
      </c>
      <c r="K17" s="46" t="s">
        <v>249</v>
      </c>
    </row>
    <row r="18" spans="1:11">
      <c r="A18" s="46">
        <f>SUBTOTAL(3,$B$2:B18)</f>
        <v>17</v>
      </c>
      <c r="B18" s="47">
        <v>10273</v>
      </c>
      <c r="C18" s="46" t="s">
        <v>256</v>
      </c>
      <c r="D18" s="46">
        <v>24.8</v>
      </c>
      <c r="E18" s="46">
        <v>24</v>
      </c>
      <c r="F18" s="46">
        <v>0.05</v>
      </c>
      <c r="G18" s="46">
        <v>565.44000000000005</v>
      </c>
      <c r="H18" s="46" t="s">
        <v>255</v>
      </c>
      <c r="I18" s="46">
        <v>3</v>
      </c>
      <c r="J18" s="46" t="s">
        <v>254</v>
      </c>
      <c r="K18" s="46" t="s">
        <v>253</v>
      </c>
    </row>
    <row r="19" spans="1:11">
      <c r="A19" s="46">
        <f>SUBTOTAL(3,$B$2:B19)</f>
        <v>18</v>
      </c>
      <c r="B19" s="47">
        <v>10274</v>
      </c>
      <c r="C19" s="46" t="s">
        <v>252</v>
      </c>
      <c r="D19" s="46">
        <v>17.2</v>
      </c>
      <c r="E19" s="46">
        <v>20</v>
      </c>
      <c r="F19" s="46">
        <v>0</v>
      </c>
      <c r="G19" s="46">
        <v>344</v>
      </c>
      <c r="H19" s="46" t="s">
        <v>251</v>
      </c>
      <c r="I19" s="46">
        <v>6</v>
      </c>
      <c r="J19" s="46" t="s">
        <v>250</v>
      </c>
      <c r="K19" s="46" t="s">
        <v>249</v>
      </c>
    </row>
  </sheetData>
  <autoFilter ref="B1:K19" xr:uid="{965C7DBF-8F1A-B44A-9EF7-FAECCE6E4C8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3</vt:i4>
      </vt:variant>
    </vt:vector>
  </HeadingPairs>
  <TitlesOfParts>
    <vt:vector size="10" baseType="lpstr">
      <vt:lpstr>EXCEL课件</vt:lpstr>
      <vt:lpstr>排序</vt:lpstr>
      <vt:lpstr>工资条</vt:lpstr>
      <vt:lpstr>筛选</vt:lpstr>
      <vt:lpstr>高级筛选</vt:lpstr>
      <vt:lpstr>subtotal</vt:lpstr>
      <vt:lpstr>连续编号</vt:lpstr>
      <vt:lpstr>高级筛选!Criteria</vt:lpstr>
      <vt:lpstr>筛选!Criteria</vt:lpstr>
      <vt:lpstr>筛选!提取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2026-09-12T05:01:35Z</dcterms:modified>
</cp:coreProperties>
</file>