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zimu/Documents/data-analytics/excel/"/>
    </mc:Choice>
  </mc:AlternateContent>
  <xr:revisionPtr revIDLastSave="0" documentId="13_ncr:1_{56253E8E-6E8B-884E-A032-A2EBCC285EE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EXCEL课件" sheetId="1" r:id="rId1"/>
    <sheet name="文本格式数据" sheetId="21" r:id="rId2"/>
    <sheet name="分列工具" sheetId="18" r:id="rId3"/>
    <sheet name="数字格式学习表" sheetId="2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0" l="1"/>
  <c r="D17" i="20"/>
  <c r="D18" i="20"/>
  <c r="D16" i="20"/>
  <c r="D14" i="20"/>
  <c r="D13" i="20"/>
  <c r="D12" i="20"/>
  <c r="D11" i="20"/>
  <c r="D10" i="20"/>
  <c r="D9" i="20"/>
  <c r="D8" i="20"/>
  <c r="D60" i="20"/>
  <c r="D59" i="20"/>
  <c r="D56" i="20"/>
  <c r="D55" i="20"/>
  <c r="D54" i="20"/>
  <c r="D48" i="20"/>
  <c r="D44" i="20"/>
  <c r="D43" i="20"/>
  <c r="D42" i="20"/>
  <c r="D41" i="20"/>
  <c r="D40" i="20"/>
  <c r="D39" i="20"/>
  <c r="D36" i="20"/>
  <c r="D35" i="20"/>
  <c r="D34" i="20"/>
  <c r="D32" i="20"/>
  <c r="D31" i="20"/>
  <c r="D30" i="20"/>
  <c r="D29" i="20"/>
  <c r="D28" i="20"/>
  <c r="D27" i="20"/>
  <c r="D26" i="20"/>
  <c r="D25" i="20"/>
  <c r="D24" i="20"/>
  <c r="D7" i="20"/>
  <c r="D6" i="20"/>
  <c r="D5" i="20"/>
  <c r="D4" i="20"/>
  <c r="D3" i="20"/>
  <c r="D2" i="20"/>
  <c r="D18" i="1"/>
  <c r="D16" i="1"/>
  <c r="D15" i="1"/>
  <c r="D14" i="1"/>
  <c r="D13" i="1"/>
  <c r="D12" i="1"/>
  <c r="D11" i="1"/>
  <c r="D10" i="1"/>
  <c r="D9" i="1"/>
</calcChain>
</file>

<file path=xl/sharedStrings.xml><?xml version="1.0" encoding="utf-8"?>
<sst xmlns="http://schemas.openxmlformats.org/spreadsheetml/2006/main" count="230" uniqueCount="206">
  <si>
    <t>一、</t>
    <phoneticPr fontId="1" type="noConversion"/>
  </si>
  <si>
    <t>三、</t>
    <phoneticPr fontId="1" type="noConversion"/>
  </si>
  <si>
    <t>单元格数字格式</t>
    <phoneticPr fontId="1" type="noConversion"/>
  </si>
  <si>
    <t>类型</t>
    <phoneticPr fontId="7" type="noConversion"/>
  </si>
  <si>
    <t>原格式</t>
    <phoneticPr fontId="7" type="noConversion"/>
  </si>
  <si>
    <t>转变后的格式</t>
    <phoneticPr fontId="7" type="noConversion"/>
  </si>
  <si>
    <t>数值</t>
    <phoneticPr fontId="7" type="noConversion"/>
  </si>
  <si>
    <t>货币</t>
    <phoneticPr fontId="7" type="noConversion"/>
  </si>
  <si>
    <t>会计专用</t>
    <phoneticPr fontId="7" type="noConversion"/>
  </si>
  <si>
    <t>日期</t>
    <phoneticPr fontId="7" type="noConversion"/>
  </si>
  <si>
    <t>时间</t>
    <phoneticPr fontId="7" type="noConversion"/>
  </si>
  <si>
    <t>百分比</t>
    <phoneticPr fontId="7" type="noConversion"/>
  </si>
  <si>
    <t>分数</t>
    <phoneticPr fontId="7" type="noConversion"/>
  </si>
  <si>
    <t>科学计数</t>
    <phoneticPr fontId="7" type="noConversion"/>
  </si>
  <si>
    <t>文本</t>
    <phoneticPr fontId="7" type="noConversion"/>
  </si>
  <si>
    <t>2422</t>
    <phoneticPr fontId="7" type="noConversion"/>
  </si>
  <si>
    <t>特殊</t>
    <phoneticPr fontId="7" type="noConversion"/>
  </si>
  <si>
    <t>1、数字格式</t>
    <phoneticPr fontId="1" type="noConversion"/>
  </si>
  <si>
    <t>3、利用自定义数字格式修改日期</t>
    <phoneticPr fontId="1" type="noConversion"/>
  </si>
  <si>
    <t>使用"分列"工具</t>
    <phoneticPr fontId="1" type="noConversion"/>
  </si>
  <si>
    <t>1、利用分列切割数据</t>
    <phoneticPr fontId="1" type="noConversion"/>
  </si>
  <si>
    <t>2、利用分列工具转化文本、数值、日期</t>
    <phoneticPr fontId="1" type="noConversion"/>
  </si>
  <si>
    <t>4、利用数字格式隐藏数据</t>
    <phoneticPr fontId="1" type="noConversion"/>
  </si>
  <si>
    <t>要求</t>
    <phoneticPr fontId="7" type="noConversion"/>
  </si>
  <si>
    <t>设置自定义格式</t>
    <phoneticPr fontId="7" type="noConversion"/>
  </si>
  <si>
    <t>原数值</t>
    <phoneticPr fontId="7" type="noConversion"/>
  </si>
  <si>
    <t>自定义格式后的数值</t>
    <phoneticPr fontId="7" type="noConversion"/>
  </si>
  <si>
    <t>显示4个字节的意义</t>
    <phoneticPr fontId="7" type="noConversion"/>
  </si>
  <si>
    <t>[DBNum2]G/通用格式</t>
  </si>
  <si>
    <t>将 1234.59 显示为 1234.6</t>
  </si>
  <si>
    <t>将 8.9 显示为 8.900</t>
  </si>
  <si>
    <t>将 .631 显示为 0.6</t>
  </si>
  <si>
    <t>#.###E+00</t>
  </si>
  <si>
    <t>将月份显示为 1–12</t>
  </si>
  <si>
    <t>将月份显示为 01–12</t>
  </si>
  <si>
    <t>将月份显示为 Jan–Dec</t>
  </si>
  <si>
    <t>将月份显示为 January–December</t>
  </si>
  <si>
    <t>将月份显示为该月份的第一个字母</t>
  </si>
  <si>
    <t>将日期显示为 1–31</t>
  </si>
  <si>
    <t>将日期显示为 01–31</t>
  </si>
  <si>
    <t>将日期显示为 Sun–Sat</t>
  </si>
  <si>
    <t>将日期显示为 Sunday–Saturday</t>
  </si>
  <si>
    <t>将年份显示为 00–99</t>
  </si>
  <si>
    <t>将年份显示为 1900–9999</t>
  </si>
  <si>
    <t>将小时显示为 0–23</t>
  </si>
  <si>
    <t>将小时显示为 00–23</t>
  </si>
  <si>
    <t>将分钟显示为 0–59</t>
  </si>
  <si>
    <t>将分钟显示为 00–59</t>
  </si>
  <si>
    <t>将秒显示为 0–59</t>
  </si>
  <si>
    <t>将秒显示为 00–59</t>
  </si>
  <si>
    <t>使小时显示类似于 4 AM</t>
  </si>
  <si>
    <t>使时间显示类似于 4:36 pm</t>
  </si>
  <si>
    <t>上午/下午h"时"mm"分"</t>
  </si>
  <si>
    <t>使时间显示类似于 4:36:03 P</t>
  </si>
  <si>
    <t>按秒计算的一段时间</t>
  </si>
  <si>
    <t>百分之几秒</t>
  </si>
  <si>
    <t>[DBNum1]yyyy"年"m"月"d"日"</t>
  </si>
  <si>
    <t>"正数";"负数";"零值";"文本"</t>
    <phoneticPr fontId="7" type="noConversion"/>
  </si>
  <si>
    <t>原有文本后面加上新文本或数字</t>
    <phoneticPr fontId="7" type="noConversion"/>
  </si>
  <si>
    <t>@"市"</t>
    <phoneticPr fontId="7" type="noConversion"/>
  </si>
  <si>
    <t>广州</t>
    <phoneticPr fontId="7" type="noConversion"/>
  </si>
  <si>
    <t>数值大写格式1</t>
    <phoneticPr fontId="7" type="noConversion"/>
  </si>
  <si>
    <t>[DBNum1]G/通用格式</t>
    <phoneticPr fontId="7" type="noConversion"/>
  </si>
  <si>
    <t>数值大写格式2</t>
    <phoneticPr fontId="7" type="noConversion"/>
  </si>
  <si>
    <t>隐藏单元格所有值</t>
    <phoneticPr fontId="7" type="noConversion"/>
  </si>
  <si>
    <t>;;;</t>
    <phoneticPr fontId="7" type="noConversion"/>
  </si>
  <si>
    <t>带单位的值</t>
    <phoneticPr fontId="7" type="noConversion"/>
  </si>
  <si>
    <t>00.00"公斤"</t>
    <phoneticPr fontId="7" type="noConversion"/>
  </si>
  <si>
    <t>####.#</t>
    <phoneticPr fontId="7" type="noConversion"/>
  </si>
  <si>
    <t>#.000</t>
    <phoneticPr fontId="7" type="noConversion"/>
  </si>
  <si>
    <t>0.#</t>
    <phoneticPr fontId="7" type="noConversion"/>
  </si>
  <si>
    <t>12显示为12.0；4.568显示为4.57</t>
    <phoneticPr fontId="7" type="noConversion"/>
  </si>
  <si>
    <t>#.0#</t>
    <phoneticPr fontId="7" type="noConversion"/>
  </si>
  <si>
    <t>对齐小数点</t>
    <phoneticPr fontId="7" type="noConversion"/>
  </si>
  <si>
    <t>???.???</t>
    <phoneticPr fontId="7" type="noConversion"/>
  </si>
  <si>
    <t>分数时除号对齐</t>
    <phoneticPr fontId="7" type="noConversion"/>
  </si>
  <si>
    <t># ???/???</t>
    <phoneticPr fontId="7" type="noConversion"/>
  </si>
  <si>
    <t>科学计数法</t>
    <phoneticPr fontId="7" type="noConversion"/>
  </si>
  <si>
    <r>
      <t xml:space="preserve"> 千位分隔符  </t>
    </r>
    <r>
      <rPr>
        <sz val="10"/>
        <color indexed="61"/>
        <rFont val="宋体"/>
        <family val="3"/>
        <charset val="134"/>
      </rPr>
      <t xml:space="preserve"> 若要放大显示可灵活设置。</t>
    </r>
    <phoneticPr fontId="7" type="noConversion"/>
  </si>
  <si>
    <t>千位分隔符</t>
    <phoneticPr fontId="7" type="noConversion"/>
  </si>
  <si>
    <t>#,###</t>
    <phoneticPr fontId="7" type="noConversion"/>
  </si>
  <si>
    <t>千位分隔符[将数字放大1000倍]</t>
    <phoneticPr fontId="7" type="noConversion"/>
  </si>
  <si>
    <t>#,</t>
    <phoneticPr fontId="7" type="noConversion"/>
  </si>
  <si>
    <t>千位分隔符[以百万为单位]</t>
    <phoneticPr fontId="7" type="noConversion"/>
  </si>
  <si>
    <t>0.0,,</t>
    <phoneticPr fontId="7" type="noConversion"/>
  </si>
  <si>
    <r>
      <t xml:space="preserve"> 颜色  </t>
    </r>
    <r>
      <rPr>
        <sz val="10"/>
        <color indexed="61"/>
        <rFont val="宋体"/>
        <family val="3"/>
        <charset val="134"/>
      </rPr>
      <t xml:space="preserve"> 若要设置格式中某一部分的颜色，请在该部分对应位置用方括号键入下列八种颜色名称之一。
        颜色代码必须为该部分的第一项。</t>
    </r>
    <phoneticPr fontId="7" type="noConversion"/>
  </si>
  <si>
    <t>[黑色]</t>
    <phoneticPr fontId="7" type="noConversion"/>
  </si>
  <si>
    <t>[蓝色]</t>
    <phoneticPr fontId="7" type="noConversion"/>
  </si>
  <si>
    <t>[洋红色]</t>
    <phoneticPr fontId="7" type="noConversion"/>
  </si>
  <si>
    <t>[红色]</t>
    <phoneticPr fontId="7" type="noConversion"/>
  </si>
  <si>
    <t>[青色]</t>
    <phoneticPr fontId="7" type="noConversion"/>
  </si>
  <si>
    <t>[绿色]</t>
    <phoneticPr fontId="7" type="noConversion"/>
  </si>
  <si>
    <t>[白色]</t>
    <phoneticPr fontId="7" type="noConversion"/>
  </si>
  <si>
    <t>[黄色]</t>
    <phoneticPr fontId="7" type="noConversion"/>
  </si>
  <si>
    <t>数值范围用颜色区分</t>
    <phoneticPr fontId="7" type="noConversion"/>
  </si>
  <si>
    <t>[红色][&lt;=100];[蓝色][&gt;100]</t>
    <phoneticPr fontId="7" type="noConversion"/>
  </si>
  <si>
    <t xml:space="preserve">  日[d]、月[m]、年[y]、小时[h]、分钟[m]、秒[s]</t>
    <phoneticPr fontId="7" type="noConversion"/>
  </si>
  <si>
    <t>m</t>
    <phoneticPr fontId="7" type="noConversion"/>
  </si>
  <si>
    <t>=NOW()</t>
    <phoneticPr fontId="7" type="noConversion"/>
  </si>
  <si>
    <t>mm</t>
    <phoneticPr fontId="7" type="noConversion"/>
  </si>
  <si>
    <t>mmm</t>
    <phoneticPr fontId="7" type="noConversion"/>
  </si>
  <si>
    <t>mmmm</t>
    <phoneticPr fontId="7" type="noConversion"/>
  </si>
  <si>
    <t>mmmmm</t>
    <phoneticPr fontId="7" type="noConversion"/>
  </si>
  <si>
    <t>d</t>
    <phoneticPr fontId="7" type="noConversion"/>
  </si>
  <si>
    <t>dd</t>
    <phoneticPr fontId="7" type="noConversion"/>
  </si>
  <si>
    <t>ddd</t>
    <phoneticPr fontId="7" type="noConversion"/>
  </si>
  <si>
    <t>dddd</t>
    <phoneticPr fontId="7" type="noConversion"/>
  </si>
  <si>
    <t>yy</t>
    <phoneticPr fontId="7" type="noConversion"/>
  </si>
  <si>
    <t>yyyy</t>
    <phoneticPr fontId="7" type="noConversion"/>
  </si>
  <si>
    <t>H</t>
    <phoneticPr fontId="7" type="noConversion"/>
  </si>
  <si>
    <t>hh</t>
    <phoneticPr fontId="7" type="noConversion"/>
  </si>
  <si>
    <t xml:space="preserve">  m或mm必须紧跟在h或hh代码之后,或后面紧接ss代码  否则,将显示月而不是分</t>
    <phoneticPr fontId="7" type="noConversion"/>
  </si>
  <si>
    <t>s</t>
    <phoneticPr fontId="7" type="noConversion"/>
  </si>
  <si>
    <t>ss</t>
    <phoneticPr fontId="7" type="noConversion"/>
  </si>
  <si>
    <t>h AM/PM</t>
    <phoneticPr fontId="7" type="noConversion"/>
  </si>
  <si>
    <t>h:mm AM/PM</t>
    <phoneticPr fontId="7" type="noConversion"/>
  </si>
  <si>
    <t xml:space="preserve">使时间显示类似于 下午4时36分 </t>
    <phoneticPr fontId="7" type="noConversion"/>
  </si>
  <si>
    <t>h:mm:ss A/P</t>
    <phoneticPr fontId="7" type="noConversion"/>
  </si>
  <si>
    <t>按小时计算的一段时间</t>
    <phoneticPr fontId="7" type="noConversion"/>
  </si>
  <si>
    <t>[h]:mm</t>
    <phoneticPr fontId="7" type="noConversion"/>
  </si>
  <si>
    <t>按分钟计算的一段时间</t>
    <phoneticPr fontId="7" type="noConversion"/>
  </si>
  <si>
    <t>[mm]:ss</t>
    <phoneticPr fontId="7" type="noConversion"/>
  </si>
  <si>
    <t>[ss]</t>
    <phoneticPr fontId="7" type="noConversion"/>
  </si>
  <si>
    <t>h:mm:ss.00</t>
    <phoneticPr fontId="7" type="noConversion"/>
  </si>
  <si>
    <t>显示数据意义</t>
    <phoneticPr fontId="7" type="noConversion"/>
  </si>
  <si>
    <t>0.00 "剩余";-0.00 "短缺"”</t>
    <phoneticPr fontId="7" type="noConversion"/>
  </si>
  <si>
    <t>正数与括号内负数对齐</t>
    <phoneticPr fontId="7" type="noConversion"/>
  </si>
  <si>
    <t>#,##0_);(#,##0);-0-_)</t>
    <phoneticPr fontId="7" type="noConversion"/>
  </si>
  <si>
    <t>页码格式</t>
    <phoneticPr fontId="7" type="noConversion"/>
  </si>
  <si>
    <t>"-"??0"-"</t>
    <phoneticPr fontId="7" type="noConversion"/>
  </si>
  <si>
    <t>将日期显示为年月日（数字）</t>
    <phoneticPr fontId="7" type="noConversion"/>
  </si>
  <si>
    <t>yyyy"年"m"月"d"日"</t>
    <phoneticPr fontId="7" type="noConversion"/>
  </si>
  <si>
    <t>将日期显示为年月日(全中文）</t>
    <phoneticPr fontId="7" type="noConversion"/>
  </si>
  <si>
    <t>将月份显示为 一月～十二月</t>
    <phoneticPr fontId="7" type="noConversion"/>
  </si>
  <si>
    <t>[$-804]mmmm</t>
    <phoneticPr fontId="7" type="noConversion"/>
  </si>
  <si>
    <t>将日期显示为 "一～日"</t>
    <phoneticPr fontId="7" type="noConversion"/>
  </si>
  <si>
    <t>aaa</t>
    <phoneticPr fontId="7" type="noConversion"/>
  </si>
  <si>
    <t>将日期显示为 "星期一～日"</t>
    <phoneticPr fontId="7" type="noConversion"/>
  </si>
  <si>
    <t>aaaa</t>
    <phoneticPr fontId="7" type="noConversion"/>
  </si>
  <si>
    <t>添加空格</t>
    <phoneticPr fontId="7" type="noConversion"/>
  </si>
  <si>
    <t xml:space="preserve">_ ￥* #,##0_ ;_ ￥* -#,##0_ ;_ ￥* "-"_ ;_ @_ </t>
    <phoneticPr fontId="7" type="noConversion"/>
  </si>
  <si>
    <t>英寸（分数）</t>
    <phoneticPr fontId="7" type="noConversion"/>
  </si>
  <si>
    <t># ##/##!"</t>
    <phoneticPr fontId="7" type="noConversion"/>
  </si>
  <si>
    <t>角度显示</t>
    <phoneticPr fontId="7" type="noConversion"/>
  </si>
  <si>
    <r>
      <t>[hh]°m!'</t>
    </r>
    <r>
      <rPr>
        <sz val="10"/>
        <color indexed="12"/>
        <rFont val="Courier New"/>
        <family val="3"/>
      </rPr>
      <t>s!"</t>
    </r>
    <phoneticPr fontId="7" type="noConversion"/>
  </si>
  <si>
    <t>角度计算</t>
    <phoneticPr fontId="7" type="noConversion"/>
  </si>
  <si>
    <r>
      <t>[hh]°m′</t>
    </r>
    <r>
      <rPr>
        <sz val="10"/>
        <color indexed="12"/>
        <rFont val="Courier New"/>
        <family val="3"/>
      </rPr>
      <t>s</t>
    </r>
    <r>
      <rPr>
        <sz val="10"/>
        <color indexed="12"/>
        <rFont val="宋体"/>
        <family val="3"/>
        <charset val="134"/>
      </rPr>
      <t>″</t>
    </r>
    <phoneticPr fontId="7" type="noConversion"/>
  </si>
  <si>
    <t>角度转换为秒</t>
    <phoneticPr fontId="7" type="noConversion"/>
  </si>
  <si>
    <t>[ss]!"</t>
    <phoneticPr fontId="7" type="noConversion"/>
  </si>
  <si>
    <t>订购日期，ERPCO号，所属区域，产品类别，数量，金额，成本</t>
  </si>
  <si>
    <t>2007/3/21，C014673-004，苏州，宠物用品，16，19269.68516，18982.84776</t>
  </si>
  <si>
    <t>2007/4/28，C014673-005，苏州，宠物用品，40，39465.1698，40893.08315</t>
  </si>
  <si>
    <t>2007/4/28，C014673-006，苏州，宠物用品，20，21015.94475，22294.08522</t>
  </si>
  <si>
    <t>2007/5/31，C014673-007，苏州，宠物用品，20，23710.25859，24318.37412</t>
  </si>
  <si>
    <t>2007/6/13，C014673-008，苏州，宠物用品，16，20015.07243，20256.6947</t>
  </si>
  <si>
    <t>2007/7/16，C014673-009，苏州，宠物用品，200，40014.12141，43537.55776</t>
  </si>
  <si>
    <t>2007/9/14，C014673-010，苏州，宠物用品，100，21423.94932，22917.33961</t>
  </si>
  <si>
    <t>2007/10/19，C014673-011，苏州，宠物用品，200，40014.12141，44258.36456</t>
  </si>
  <si>
    <t>2007/11/20，C014673-012，苏州，宠物用品，400，84271.4904，92391.15364</t>
  </si>
  <si>
    <t>2007/3/21，C014673-013，常熟，宠物用品，212，48705.65741，51700.03082</t>
  </si>
  <si>
    <t>2007/4/28，C014673-014，常熟，宠物用品，224，47192.03462，50558.49838</t>
  </si>
  <si>
    <t>2007/4/28，C014673-015，常熟，宠物用品，92，21136.41737，22115.22895</t>
  </si>
  <si>
    <t>2007/5/31，C014673-016，常熟，宠物用品，100，27499.50836，30712.17737</t>
  </si>
  <si>
    <t>2007/6/13，C014673-019，常熟，宠物用品，140，29993.52905，32726.65778</t>
  </si>
  <si>
    <t>2007/7/16，C015084-001，常熟，宠物用品，108，34682.76272，35738.65811</t>
  </si>
  <si>
    <t>2007/9/14，C015084-002，常熟，宠物用品，72，12492.95172，11098.92393</t>
  </si>
  <si>
    <t>2007/10/19，C014673-001，常熟，宠物用品，32，30449.30725，29398.00409</t>
  </si>
  <si>
    <t>2007/11/20，C014673-002，常熟，宠物用品，12，12125.30251，11641.50878</t>
  </si>
  <si>
    <t>分列强制改单元格格式-不按照任何格式分-直接到第三步选择转换类型即可</t>
    <phoneticPr fontId="1" type="noConversion"/>
  </si>
  <si>
    <t>自定义类型展现格式分别为：正值;负值;零;文本-隐藏单元格内容;;;</t>
    <phoneticPr fontId="1" type="noConversion"/>
  </si>
  <si>
    <t>单元格文本格式-左上角会出现绿色箭头-点感叹号可快速切换格式</t>
    <phoneticPr fontId="1" type="noConversion"/>
  </si>
  <si>
    <t>选中日期列-查找和选择-替换-替换日期中/或某一内容 重新激活日期</t>
    <phoneticPr fontId="1" type="noConversion"/>
  </si>
  <si>
    <t>452232197406197909</t>
  </si>
  <si>
    <t>363377199804269933</t>
  </si>
  <si>
    <t>372610197002143999</t>
  </si>
  <si>
    <t>214443198609187929</t>
  </si>
  <si>
    <t>412760198210192639</t>
  </si>
  <si>
    <t>134381198010028372</t>
  </si>
  <si>
    <t>422500197909164483</t>
  </si>
  <si>
    <t>124001196907079482</t>
  </si>
  <si>
    <t>613030196811129966</t>
  </si>
  <si>
    <t>362211196607043974</t>
  </si>
  <si>
    <t>111699197709246969</t>
  </si>
  <si>
    <t>412463196610244612</t>
  </si>
  <si>
    <t>312419199006022643</t>
  </si>
  <si>
    <t>452116198411232398</t>
    <phoneticPr fontId="15" type="noConversion"/>
  </si>
  <si>
    <t>出生日期</t>
    <phoneticPr fontId="15" type="noConversion"/>
  </si>
  <si>
    <t>身份证号</t>
  </si>
  <si>
    <t>工号</t>
  </si>
  <si>
    <t>文本格式主要用来解决身份证问题或以0开头的文本数字</t>
    <phoneticPr fontId="1" type="noConversion"/>
  </si>
  <si>
    <t>文本格式会导致公式没有计算而直接展示书写内容</t>
    <phoneticPr fontId="1" type="noConversion"/>
  </si>
  <si>
    <t>选中当前列-数据-分列-按照分割符号分</t>
    <phoneticPr fontId="1" type="noConversion"/>
  </si>
  <si>
    <t>2、区分文本常规数值格式</t>
    <phoneticPr fontId="1" type="noConversion"/>
  </si>
  <si>
    <t>文本格式可以左右相连但不能进行统计 例如求和</t>
    <phoneticPr fontId="1" type="noConversion"/>
  </si>
  <si>
    <t>纯数字单元格可以对比大小多少/加减乘除</t>
    <phoneticPr fontId="1" type="noConversion"/>
  </si>
  <si>
    <t>强制转换类型 提前复制一个单元格值1-选择性粘贴-乘</t>
    <phoneticPr fontId="1" type="noConversion"/>
  </si>
  <si>
    <t>格式刷-其实就是选择性粘贴-粘贴单元格格式</t>
    <phoneticPr fontId="1" type="noConversion"/>
  </si>
  <si>
    <t>在Excel中数值类型 可以通过设置单元格格式改变展现形式</t>
  </si>
  <si>
    <t>Excel在记录身份证长度数字时 默认只会存储15位精确度 导致后续数字展示为0</t>
  </si>
  <si>
    <t>&lt;正数&gt;;&lt;负数&gt;;&lt;零&gt;;&lt;文本&gt;</t>
    <phoneticPr fontId="1" type="noConversion"/>
  </si>
  <si>
    <t>[蓝色]+0;[红色]-0</t>
    <phoneticPr fontId="1" type="noConversion"/>
  </si>
  <si>
    <t>[&gt;=60][蓝色]合格;[红色]不合格</t>
    <phoneticPr fontId="1" type="noConversion"/>
  </si>
  <si>
    <t>0!.0,"万元" 或者 0\.0,"万元"</t>
    <phoneticPr fontId="1" type="noConversion"/>
  </si>
  <si>
    <t>千分位符号（逗号）的右侧没有_"0"_或者_"#"_、_"?"_用以显示数字</t>
    <phoneticPr fontId="1" type="noConversion"/>
  </si>
  <si>
    <t>因此不显示千元以下的部分，再使用占位符!（叹号）或\（反斜杠）与句点结合</t>
    <phoneticPr fontId="1" type="noConversion"/>
  </si>
  <si>
    <t>在千元前面显示句点本身而不是作为数值自身小数点使用，从而得到以“万元”为单位的显示效果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</si>
</sst>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176" formatCode="_ &quot;¥&quot;* #,##0_ ;_ &quot;¥&quot;* \-#,##0_ ;_ &quot;¥&quot;* &quot;-&quot;_ ;_ @_ "/>
    <numFmt numFmtId="177" formatCode="#,##0_ "/>
    <numFmt numFmtId="178" formatCode="&quot;¥&quot;#,##0.00;[Red]&quot;¥&quot;#,##0.00"/>
    <numFmt numFmtId="179" formatCode="_-\$* #,##0.00_ ;_-\$* \-#,##0.00\ ;_-\$* &quot;-&quot;??_ ;_-@_ "/>
    <numFmt numFmtId="180" formatCode="[$-F800]dddd\,\ mmmm\ dd\,\ yyyy"/>
    <numFmt numFmtId="181" formatCode="上午/下午h&quot;时&quot;mm&quot;分&quot;ss&quot;秒&quot;;@"/>
    <numFmt numFmtId="182" formatCode="#\ ?/2"/>
    <numFmt numFmtId="183" formatCode="[DBNum1][$-804]General"/>
    <numFmt numFmtId="184" formatCode="&quot;正&quot;&quot;数&quot;;&quot;负&quot;&quot;数&quot;;&quot;零&quot;&quot;值&quot;;&quot;文&quot;&quot;本&quot;"/>
    <numFmt numFmtId="185" formatCode="@&quot;市&quot;"/>
    <numFmt numFmtId="186" formatCode="[DBNum2][$-804]General"/>
    <numFmt numFmtId="187" formatCode=";;;"/>
    <numFmt numFmtId="188" formatCode="00.00&quot;公斤&quot;"/>
    <numFmt numFmtId="189" formatCode="####.#"/>
    <numFmt numFmtId="190" formatCode="#.000"/>
    <numFmt numFmtId="191" formatCode="0.#"/>
    <numFmt numFmtId="192" formatCode="#.0#"/>
    <numFmt numFmtId="193" formatCode="???.???"/>
    <numFmt numFmtId="194" formatCode="#\ ???/???"/>
    <numFmt numFmtId="195" formatCode="#.###E+00"/>
    <numFmt numFmtId="196" formatCode="#,###"/>
    <numFmt numFmtId="197" formatCode="#,"/>
    <numFmt numFmtId="198" formatCode="0.0,,"/>
    <numFmt numFmtId="199" formatCode="[Red][&lt;=100]General;[Blue][&gt;100]General"/>
    <numFmt numFmtId="200" formatCode="m"/>
    <numFmt numFmtId="201" formatCode="mm"/>
    <numFmt numFmtId="202" formatCode="mmm"/>
    <numFmt numFmtId="203" formatCode="mmmm"/>
    <numFmt numFmtId="204" formatCode="mmmmm"/>
    <numFmt numFmtId="205" formatCode="d"/>
    <numFmt numFmtId="206" formatCode="dd"/>
    <numFmt numFmtId="207" formatCode="ddd"/>
    <numFmt numFmtId="208" formatCode="dddd"/>
    <numFmt numFmtId="209" formatCode="yy"/>
    <numFmt numFmtId="210" formatCode="yyyy"/>
    <numFmt numFmtId="211" formatCode="h"/>
    <numFmt numFmtId="212" formatCode="hh"/>
    <numFmt numFmtId="213" formatCode="s"/>
    <numFmt numFmtId="214" formatCode="ss"/>
    <numFmt numFmtId="215" formatCode="h\ AM/PM"/>
    <numFmt numFmtId="216" formatCode="h:mm:ss\ A/P"/>
    <numFmt numFmtId="217" formatCode="[h]:mm"/>
    <numFmt numFmtId="218" formatCode="[mm]:ss"/>
    <numFmt numFmtId="219" formatCode="[ss]"/>
    <numFmt numFmtId="220" formatCode="h:mm:ss.00"/>
    <numFmt numFmtId="221" formatCode="0.00\ &quot;剩余&quot;;\-0.00\ &quot;短缺&quot;"/>
    <numFmt numFmtId="222" formatCode="#,##0_);\(#,##0\);\-0\-_)"/>
    <numFmt numFmtId="223" formatCode="&quot;-&quot;??0&quot;-&quot;"/>
    <numFmt numFmtId="224" formatCode="[DBNum1][$-804]yyyy&quot;年&quot;m&quot;月&quot;d&quot;日&quot;"/>
    <numFmt numFmtId="225" formatCode="[$-804]mmm"/>
    <numFmt numFmtId="226" formatCode="aaa"/>
    <numFmt numFmtId="227" formatCode="aaaa"/>
    <numFmt numFmtId="228" formatCode="#\ ##/##\&quot;"/>
    <numFmt numFmtId="229" formatCode="[hh]&quot;°&quot;m\'s\&quot;"/>
    <numFmt numFmtId="230" formatCode="[hh]&quot;°&quot;m&quot;′&quot;s&quot;″&quot;"/>
    <numFmt numFmtId="231" formatCode="[s]\&quot;"/>
  </numFmts>
  <fonts count="22">
    <font>
      <sz val="12"/>
      <name val="宋体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sz val="10"/>
      <color indexed="12"/>
      <name val="宋体"/>
      <family val="3"/>
      <charset val="134"/>
    </font>
    <font>
      <b/>
      <sz val="10"/>
      <color indexed="61"/>
      <name val="宋体"/>
      <family val="3"/>
      <charset val="134"/>
    </font>
    <font>
      <sz val="10"/>
      <color indexed="61"/>
      <name val="宋体"/>
      <family val="3"/>
      <charset val="134"/>
    </font>
    <font>
      <sz val="10"/>
      <color indexed="12"/>
      <name val="Courier New"/>
      <family val="3"/>
    </font>
    <font>
      <sz val="10"/>
      <color rgb="FFFF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name val="宋体 (正文)"/>
      <family val="3"/>
      <charset val="134"/>
    </font>
    <font>
      <u/>
      <sz val="10"/>
      <color indexed="12"/>
      <name val="宋体"/>
      <family val="3"/>
      <charset val="134"/>
    </font>
    <font>
      <sz val="10"/>
      <color rgb="FF002060"/>
      <name val="宋体"/>
      <family val="3"/>
      <charset val="134"/>
    </font>
    <font>
      <sz val="10"/>
      <color theme="3" tint="-0.249977111117893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4" fillId="0" borderId="0">
      <alignment vertical="center"/>
    </xf>
  </cellStyleXfs>
  <cellXfs count="141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2" fillId="0" borderId="0" xfId="1" applyAlignment="1" applyProtection="1">
      <protection locked="0"/>
    </xf>
    <xf numFmtId="14" fontId="3" fillId="0" borderId="0" xfId="0" applyNumberFormat="1" applyFont="1" applyProtection="1">
      <protection locked="0"/>
    </xf>
    <xf numFmtId="0" fontId="8" fillId="2" borderId="2" xfId="0" applyFont="1" applyFill="1" applyBorder="1" applyProtection="1">
      <protection locked="0"/>
    </xf>
    <xf numFmtId="0" fontId="8" fillId="2" borderId="2" xfId="0" applyFont="1" applyFill="1" applyBorder="1" applyAlignment="1" applyProtection="1">
      <alignment horizontal="center"/>
      <protection locked="0"/>
    </xf>
    <xf numFmtId="0" fontId="6" fillId="0" borderId="2" xfId="0" applyFont="1" applyBorder="1" applyProtection="1">
      <protection locked="0"/>
    </xf>
    <xf numFmtId="0" fontId="6" fillId="0" borderId="2" xfId="0" quotePrefix="1" applyFont="1" applyBorder="1" applyAlignment="1" applyProtection="1">
      <alignment horizontal="center"/>
      <protection locked="0"/>
    </xf>
    <xf numFmtId="177" fontId="6" fillId="0" borderId="2" xfId="0" quotePrefix="1" applyNumberFormat="1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178" fontId="6" fillId="0" borderId="2" xfId="0" applyNumberFormat="1" applyFont="1" applyBorder="1" applyAlignment="1" applyProtection="1">
      <alignment horizontal="center"/>
      <protection locked="0"/>
    </xf>
    <xf numFmtId="179" fontId="6" fillId="0" borderId="2" xfId="0" applyNumberFormat="1" applyFont="1" applyBorder="1" applyAlignment="1" applyProtection="1">
      <alignment horizontal="center"/>
      <protection locked="0"/>
    </xf>
    <xf numFmtId="180" fontId="6" fillId="0" borderId="2" xfId="0" applyNumberFormat="1" applyFont="1" applyBorder="1" applyAlignment="1" applyProtection="1">
      <alignment horizontal="center"/>
      <protection locked="0"/>
    </xf>
    <xf numFmtId="181" fontId="6" fillId="0" borderId="2" xfId="0" applyNumberFormat="1" applyFont="1" applyBorder="1" applyAlignment="1" applyProtection="1">
      <alignment horizontal="center"/>
      <protection locked="0"/>
    </xf>
    <xf numFmtId="10" fontId="6" fillId="0" borderId="2" xfId="0" applyNumberFormat="1" applyFont="1" applyBorder="1" applyAlignment="1" applyProtection="1">
      <alignment horizontal="center"/>
      <protection locked="0"/>
    </xf>
    <xf numFmtId="12" fontId="6" fillId="0" borderId="2" xfId="0" applyNumberFormat="1" applyFont="1" applyBorder="1" applyProtection="1">
      <protection locked="0"/>
    </xf>
    <xf numFmtId="182" fontId="6" fillId="0" borderId="2" xfId="0" applyNumberFormat="1" applyFont="1" applyBorder="1" applyAlignment="1" applyProtection="1">
      <alignment horizontal="center"/>
      <protection locked="0"/>
    </xf>
    <xf numFmtId="49" fontId="6" fillId="0" borderId="2" xfId="0" applyNumberFormat="1" applyFont="1" applyBorder="1" applyProtection="1">
      <protection locked="0"/>
    </xf>
    <xf numFmtId="183" fontId="6" fillId="0" borderId="2" xfId="0" applyNumberFormat="1" applyFont="1" applyBorder="1" applyAlignment="1" applyProtection="1">
      <alignment horizontal="center"/>
      <protection locked="0"/>
    </xf>
    <xf numFmtId="0" fontId="6" fillId="0" borderId="2" xfId="0" applyFont="1" applyBorder="1"/>
    <xf numFmtId="0" fontId="6" fillId="2" borderId="3" xfId="0" applyFont="1" applyFill="1" applyBorder="1"/>
    <xf numFmtId="0" fontId="6" fillId="3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184" fontId="6" fillId="5" borderId="5" xfId="0" applyNumberFormat="1" applyFont="1" applyFill="1" applyBorder="1" applyAlignment="1">
      <alignment horizontal="center"/>
    </xf>
    <xf numFmtId="0" fontId="6" fillId="2" borderId="6" xfId="0" applyFont="1" applyFill="1" applyBorder="1"/>
    <xf numFmtId="0" fontId="6" fillId="3" borderId="0" xfId="0" quotePrefix="1" applyFont="1" applyFill="1" applyAlignment="1">
      <alignment horizontal="center"/>
    </xf>
    <xf numFmtId="0" fontId="6" fillId="4" borderId="6" xfId="0" applyFont="1" applyFill="1" applyBorder="1" applyAlignment="1">
      <alignment horizontal="center"/>
    </xf>
    <xf numFmtId="185" fontId="6" fillId="5" borderId="7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83" fontId="6" fillId="5" borderId="7" xfId="0" applyNumberFormat="1" applyFont="1" applyFill="1" applyBorder="1" applyAlignment="1">
      <alignment horizontal="center"/>
    </xf>
    <xf numFmtId="186" fontId="6" fillId="5" borderId="7" xfId="0" applyNumberFormat="1" applyFont="1" applyFill="1" applyBorder="1" applyAlignment="1">
      <alignment horizontal="center"/>
    </xf>
    <xf numFmtId="187" fontId="6" fillId="5" borderId="7" xfId="0" applyNumberFormat="1" applyFont="1" applyFill="1" applyBorder="1" applyAlignment="1">
      <alignment horizontal="center"/>
    </xf>
    <xf numFmtId="0" fontId="6" fillId="2" borderId="8" xfId="0" applyFont="1" applyFill="1" applyBorder="1"/>
    <xf numFmtId="0" fontId="6" fillId="3" borderId="9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188" fontId="6" fillId="5" borderId="10" xfId="0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vertical="top" shrinkToFit="1"/>
    </xf>
    <xf numFmtId="0" fontId="9" fillId="3" borderId="3" xfId="0" applyFont="1" applyFill="1" applyBorder="1" applyAlignment="1">
      <alignment horizontal="center" vertical="center" shrinkToFit="1"/>
    </xf>
    <xf numFmtId="0" fontId="6" fillId="3" borderId="3" xfId="0" applyFont="1" applyFill="1" applyBorder="1" applyAlignment="1">
      <alignment horizontal="center" vertical="center" shrinkToFit="1"/>
    </xf>
    <xf numFmtId="189" fontId="6" fillId="3" borderId="3" xfId="0" applyNumberFormat="1" applyFont="1" applyFill="1" applyBorder="1" applyAlignment="1">
      <alignment vertical="center" shrinkToFit="1"/>
    </xf>
    <xf numFmtId="0" fontId="6" fillId="3" borderId="7" xfId="0" applyFont="1" applyFill="1" applyBorder="1" applyAlignment="1">
      <alignment vertical="top" shrinkToFit="1"/>
    </xf>
    <xf numFmtId="0" fontId="9" fillId="3" borderId="6" xfId="0" applyFont="1" applyFill="1" applyBorder="1" applyAlignment="1">
      <alignment horizontal="center" vertical="center" shrinkToFit="1"/>
    </xf>
    <xf numFmtId="0" fontId="6" fillId="3" borderId="6" xfId="0" applyFont="1" applyFill="1" applyBorder="1" applyAlignment="1">
      <alignment horizontal="center" vertical="center" shrinkToFit="1"/>
    </xf>
    <xf numFmtId="190" fontId="6" fillId="3" borderId="6" xfId="0" applyNumberFormat="1" applyFont="1" applyFill="1" applyBorder="1" applyAlignment="1">
      <alignment vertical="center" shrinkToFit="1"/>
    </xf>
    <xf numFmtId="191" fontId="6" fillId="3" borderId="6" xfId="0" applyNumberFormat="1" applyFont="1" applyFill="1" applyBorder="1" applyAlignment="1">
      <alignment vertical="center" shrinkToFit="1"/>
    </xf>
    <xf numFmtId="192" fontId="6" fillId="3" borderId="6" xfId="0" applyNumberFormat="1" applyFont="1" applyFill="1" applyBorder="1" applyAlignment="1">
      <alignment vertical="center" shrinkToFit="1"/>
    </xf>
    <xf numFmtId="193" fontId="6" fillId="3" borderId="6" xfId="0" applyNumberFormat="1" applyFont="1" applyFill="1" applyBorder="1" applyAlignment="1">
      <alignment vertical="center" shrinkToFit="1"/>
    </xf>
    <xf numFmtId="194" fontId="6" fillId="3" borderId="6" xfId="0" applyNumberFormat="1" applyFont="1" applyFill="1" applyBorder="1" applyAlignment="1">
      <alignment vertical="center" shrinkToFit="1"/>
    </xf>
    <xf numFmtId="195" fontId="6" fillId="3" borderId="6" xfId="0" applyNumberFormat="1" applyFont="1" applyFill="1" applyBorder="1" applyAlignment="1">
      <alignment vertical="center" shrinkToFit="1"/>
    </xf>
    <xf numFmtId="0" fontId="6" fillId="3" borderId="7" xfId="0" applyFont="1" applyFill="1" applyBorder="1" applyAlignment="1">
      <alignment vertical="center" shrinkToFit="1"/>
    </xf>
    <xf numFmtId="196" fontId="6" fillId="3" borderId="6" xfId="0" applyNumberFormat="1" applyFont="1" applyFill="1" applyBorder="1" applyAlignment="1">
      <alignment vertical="center" shrinkToFit="1"/>
    </xf>
    <xf numFmtId="197" fontId="6" fillId="3" borderId="6" xfId="0" applyNumberFormat="1" applyFont="1" applyFill="1" applyBorder="1" applyAlignment="1">
      <alignment vertical="center" shrinkToFit="1"/>
    </xf>
    <xf numFmtId="198" fontId="6" fillId="3" borderId="6" xfId="0" applyNumberFormat="1" applyFont="1" applyFill="1" applyBorder="1" applyAlignment="1">
      <alignment vertical="center" shrinkToFit="1"/>
    </xf>
    <xf numFmtId="0" fontId="11" fillId="6" borderId="0" xfId="0" applyFont="1" applyFill="1" applyAlignment="1">
      <alignment horizontal="center" vertical="top" shrinkToFit="1"/>
    </xf>
    <xf numFmtId="0" fontId="11" fillId="6" borderId="7" xfId="0" applyFont="1" applyFill="1" applyBorder="1" applyAlignment="1">
      <alignment horizontal="center" vertical="top" shrinkToFit="1"/>
    </xf>
    <xf numFmtId="0" fontId="6" fillId="3" borderId="9" xfId="0" applyFont="1" applyFill="1" applyBorder="1" applyAlignment="1">
      <alignment vertical="center" shrinkToFit="1"/>
    </xf>
    <xf numFmtId="0" fontId="9" fillId="3" borderId="11" xfId="0" applyFont="1" applyFill="1" applyBorder="1" applyAlignment="1">
      <alignment horizontal="center" vertical="center" shrinkToFit="1"/>
    </xf>
    <xf numFmtId="0" fontId="6" fillId="3" borderId="11" xfId="0" applyFont="1" applyFill="1" applyBorder="1" applyAlignment="1">
      <alignment horizontal="center" vertical="center" shrinkToFit="1"/>
    </xf>
    <xf numFmtId="199" fontId="6" fillId="3" borderId="8" xfId="0" applyNumberFormat="1" applyFont="1" applyFill="1" applyBorder="1" applyAlignment="1">
      <alignment horizontal="right" vertical="center" shrinkToFit="1"/>
    </xf>
    <xf numFmtId="0" fontId="6" fillId="4" borderId="4" xfId="0" applyFont="1" applyFill="1" applyBorder="1" applyAlignment="1">
      <alignment vertical="top" shrinkToFit="1"/>
    </xf>
    <xf numFmtId="0" fontId="9" fillId="4" borderId="14" xfId="0" applyFont="1" applyFill="1" applyBorder="1" applyAlignment="1">
      <alignment horizontal="center" vertical="center" shrinkToFit="1"/>
    </xf>
    <xf numFmtId="22" fontId="6" fillId="4" borderId="14" xfId="0" quotePrefix="1" applyNumberFormat="1" applyFont="1" applyFill="1" applyBorder="1" applyAlignment="1">
      <alignment horizontal="center" vertical="center" shrinkToFit="1"/>
    </xf>
    <xf numFmtId="200" fontId="6" fillId="4" borderId="3" xfId="0" applyNumberFormat="1" applyFont="1" applyFill="1" applyBorder="1" applyAlignment="1">
      <alignment vertical="center" shrinkToFit="1"/>
    </xf>
    <xf numFmtId="0" fontId="6" fillId="4" borderId="0" xfId="0" applyFont="1" applyFill="1" applyAlignment="1">
      <alignment vertical="top" shrinkToFit="1"/>
    </xf>
    <xf numFmtId="0" fontId="9" fillId="4" borderId="15" xfId="0" applyFont="1" applyFill="1" applyBorder="1" applyAlignment="1">
      <alignment horizontal="center" vertical="center" shrinkToFit="1"/>
    </xf>
    <xf numFmtId="22" fontId="6" fillId="4" borderId="15" xfId="0" quotePrefix="1" applyNumberFormat="1" applyFont="1" applyFill="1" applyBorder="1" applyAlignment="1">
      <alignment horizontal="center" vertical="center" shrinkToFit="1"/>
    </xf>
    <xf numFmtId="201" fontId="6" fillId="4" borderId="6" xfId="0" applyNumberFormat="1" applyFont="1" applyFill="1" applyBorder="1" applyAlignment="1">
      <alignment vertical="center" shrinkToFit="1"/>
    </xf>
    <xf numFmtId="202" fontId="6" fillId="4" borderId="6" xfId="0" applyNumberFormat="1" applyFont="1" applyFill="1" applyBorder="1" applyAlignment="1">
      <alignment vertical="center" shrinkToFit="1"/>
    </xf>
    <xf numFmtId="203" fontId="6" fillId="4" borderId="6" xfId="0" applyNumberFormat="1" applyFont="1" applyFill="1" applyBorder="1" applyAlignment="1">
      <alignment vertical="center" shrinkToFit="1"/>
    </xf>
    <xf numFmtId="204" fontId="6" fillId="4" borderId="6" xfId="0" applyNumberFormat="1" applyFont="1" applyFill="1" applyBorder="1" applyAlignment="1">
      <alignment vertical="center" shrinkToFit="1"/>
    </xf>
    <xf numFmtId="205" fontId="6" fillId="4" borderId="6" xfId="0" applyNumberFormat="1" applyFont="1" applyFill="1" applyBorder="1" applyAlignment="1">
      <alignment vertical="center" shrinkToFit="1"/>
    </xf>
    <xf numFmtId="206" fontId="6" fillId="4" borderId="6" xfId="0" applyNumberFormat="1" applyFont="1" applyFill="1" applyBorder="1" applyAlignment="1">
      <alignment vertical="center" shrinkToFit="1"/>
    </xf>
    <xf numFmtId="207" fontId="6" fillId="4" borderId="6" xfId="0" applyNumberFormat="1" applyFont="1" applyFill="1" applyBorder="1" applyAlignment="1">
      <alignment vertical="center" shrinkToFit="1"/>
    </xf>
    <xf numFmtId="208" fontId="6" fillId="4" borderId="6" xfId="0" applyNumberFormat="1" applyFont="1" applyFill="1" applyBorder="1" applyAlignment="1">
      <alignment vertical="center" shrinkToFit="1"/>
    </xf>
    <xf numFmtId="209" fontId="6" fillId="4" borderId="6" xfId="0" applyNumberFormat="1" applyFont="1" applyFill="1" applyBorder="1" applyAlignment="1">
      <alignment vertical="center" shrinkToFit="1"/>
    </xf>
    <xf numFmtId="210" fontId="6" fillId="4" borderId="6" xfId="0" applyNumberFormat="1" applyFont="1" applyFill="1" applyBorder="1" applyAlignment="1">
      <alignment vertical="center" shrinkToFit="1"/>
    </xf>
    <xf numFmtId="211" fontId="6" fillId="4" borderId="6" xfId="0" applyNumberFormat="1" applyFont="1" applyFill="1" applyBorder="1" applyAlignment="1">
      <alignment vertical="center" shrinkToFit="1"/>
    </xf>
    <xf numFmtId="212" fontId="6" fillId="4" borderId="6" xfId="0" applyNumberFormat="1" applyFont="1" applyFill="1" applyBorder="1" applyAlignment="1">
      <alignment vertical="center" shrinkToFit="1"/>
    </xf>
    <xf numFmtId="213" fontId="6" fillId="4" borderId="6" xfId="0" applyNumberFormat="1" applyFont="1" applyFill="1" applyBorder="1" applyAlignment="1">
      <alignment vertical="center" shrinkToFit="1"/>
    </xf>
    <xf numFmtId="214" fontId="6" fillId="4" borderId="6" xfId="0" applyNumberFormat="1" applyFont="1" applyFill="1" applyBorder="1" applyAlignment="1">
      <alignment vertical="center" shrinkToFit="1"/>
    </xf>
    <xf numFmtId="215" fontId="6" fillId="4" borderId="6" xfId="0" applyNumberFormat="1" applyFont="1" applyFill="1" applyBorder="1" applyAlignment="1">
      <alignment vertical="center" shrinkToFit="1"/>
    </xf>
    <xf numFmtId="18" fontId="6" fillId="4" borderId="6" xfId="0" applyNumberFormat="1" applyFont="1" applyFill="1" applyBorder="1" applyAlignment="1">
      <alignment vertical="center" shrinkToFit="1"/>
    </xf>
    <xf numFmtId="55" fontId="6" fillId="4" borderId="6" xfId="0" applyNumberFormat="1" applyFont="1" applyFill="1" applyBorder="1" applyAlignment="1">
      <alignment vertical="center" shrinkToFit="1"/>
    </xf>
    <xf numFmtId="216" fontId="6" fillId="4" borderId="6" xfId="0" applyNumberFormat="1" applyFont="1" applyFill="1" applyBorder="1" applyAlignment="1">
      <alignment vertical="center" shrinkToFit="1"/>
    </xf>
    <xf numFmtId="0" fontId="6" fillId="4" borderId="15" xfId="0" applyFont="1" applyFill="1" applyBorder="1" applyAlignment="1">
      <alignment horizontal="center" vertical="center" shrinkToFit="1"/>
    </xf>
    <xf numFmtId="217" fontId="6" fillId="4" borderId="6" xfId="0" applyNumberFormat="1" applyFont="1" applyFill="1" applyBorder="1" applyAlignment="1">
      <alignment vertical="center" shrinkToFit="1"/>
    </xf>
    <xf numFmtId="218" fontId="6" fillId="4" borderId="6" xfId="0" applyNumberFormat="1" applyFont="1" applyFill="1" applyBorder="1" applyAlignment="1">
      <alignment vertical="center" shrinkToFit="1"/>
    </xf>
    <xf numFmtId="219" fontId="6" fillId="4" borderId="6" xfId="0" applyNumberFormat="1" applyFont="1" applyFill="1" applyBorder="1" applyAlignment="1">
      <alignment vertical="center" shrinkToFit="1"/>
    </xf>
    <xf numFmtId="0" fontId="6" fillId="4" borderId="9" xfId="0" applyFont="1" applyFill="1" applyBorder="1" applyAlignment="1">
      <alignment vertical="top" shrinkToFit="1"/>
    </xf>
    <xf numFmtId="0" fontId="9" fillId="4" borderId="11" xfId="0" applyFont="1" applyFill="1" applyBorder="1" applyAlignment="1">
      <alignment horizontal="center" vertical="center" shrinkToFit="1"/>
    </xf>
    <xf numFmtId="22" fontId="6" fillId="4" borderId="11" xfId="0" quotePrefix="1" applyNumberFormat="1" applyFont="1" applyFill="1" applyBorder="1" applyAlignment="1">
      <alignment horizontal="center" vertical="center" shrinkToFit="1"/>
    </xf>
    <xf numFmtId="220" fontId="6" fillId="4" borderId="8" xfId="0" applyNumberFormat="1" applyFont="1" applyFill="1" applyBorder="1" applyAlignment="1">
      <alignment vertical="center" shrinkToFit="1"/>
    </xf>
    <xf numFmtId="0" fontId="6" fillId="3" borderId="3" xfId="0" applyFont="1" applyFill="1" applyBorder="1" applyAlignment="1">
      <alignment horizontal="left" vertical="center" shrinkToFit="1"/>
    </xf>
    <xf numFmtId="221" fontId="6" fillId="3" borderId="3" xfId="0" applyNumberFormat="1" applyFont="1" applyFill="1" applyBorder="1" applyAlignment="1">
      <alignment vertical="center" shrinkToFit="1"/>
    </xf>
    <xf numFmtId="0" fontId="6" fillId="3" borderId="6" xfId="0" applyFont="1" applyFill="1" applyBorder="1" applyAlignment="1">
      <alignment horizontal="left" vertical="center" shrinkToFit="1"/>
    </xf>
    <xf numFmtId="0" fontId="9" fillId="3" borderId="6" xfId="0" applyFont="1" applyFill="1" applyBorder="1" applyAlignment="1">
      <alignment vertical="center" shrinkToFit="1"/>
    </xf>
    <xf numFmtId="222" fontId="6" fillId="3" borderId="6" xfId="0" applyNumberFormat="1" applyFont="1" applyFill="1" applyBorder="1" applyAlignment="1">
      <alignment vertical="center" shrinkToFit="1"/>
    </xf>
    <xf numFmtId="0" fontId="6" fillId="3" borderId="6" xfId="0" applyFont="1" applyFill="1" applyBorder="1" applyAlignment="1">
      <alignment vertical="top" shrinkToFit="1"/>
    </xf>
    <xf numFmtId="223" fontId="6" fillId="3" borderId="6" xfId="0" applyNumberFormat="1" applyFont="1" applyFill="1" applyBorder="1" applyAlignment="1">
      <alignment vertical="center" shrinkToFit="1"/>
    </xf>
    <xf numFmtId="14" fontId="6" fillId="3" borderId="6" xfId="0" applyNumberFormat="1" applyFont="1" applyFill="1" applyBorder="1" applyAlignment="1">
      <alignment horizontal="center" vertical="center" shrinkToFit="1"/>
    </xf>
    <xf numFmtId="31" fontId="6" fillId="3" borderId="6" xfId="0" applyNumberFormat="1" applyFont="1" applyFill="1" applyBorder="1" applyAlignment="1">
      <alignment vertical="center" shrinkToFit="1"/>
    </xf>
    <xf numFmtId="224" fontId="6" fillId="3" borderId="6" xfId="0" applyNumberFormat="1" applyFont="1" applyFill="1" applyBorder="1" applyAlignment="1">
      <alignment horizontal="center" vertical="center" shrinkToFit="1"/>
    </xf>
    <xf numFmtId="22" fontId="6" fillId="3" borderId="6" xfId="0" quotePrefix="1" applyNumberFormat="1" applyFont="1" applyFill="1" applyBorder="1" applyAlignment="1">
      <alignment horizontal="center" vertical="center" shrinkToFit="1"/>
    </xf>
    <xf numFmtId="225" fontId="6" fillId="3" borderId="6" xfId="0" applyNumberFormat="1" applyFont="1" applyFill="1" applyBorder="1" applyAlignment="1">
      <alignment vertical="center" shrinkToFit="1"/>
    </xf>
    <xf numFmtId="226" fontId="6" fillId="3" borderId="6" xfId="0" applyNumberFormat="1" applyFont="1" applyFill="1" applyBorder="1" applyAlignment="1">
      <alignment vertical="center" shrinkToFit="1"/>
    </xf>
    <xf numFmtId="227" fontId="6" fillId="3" borderId="6" xfId="0" applyNumberFormat="1" applyFont="1" applyFill="1" applyBorder="1" applyAlignment="1">
      <alignment vertical="center" shrinkToFit="1"/>
    </xf>
    <xf numFmtId="176" fontId="6" fillId="3" borderId="6" xfId="0" applyNumberFormat="1" applyFont="1" applyFill="1" applyBorder="1" applyAlignment="1">
      <alignment vertical="center" shrinkToFit="1"/>
    </xf>
    <xf numFmtId="228" fontId="6" fillId="3" borderId="6" xfId="0" applyNumberFormat="1" applyFont="1" applyFill="1" applyBorder="1" applyAlignment="1">
      <alignment vertical="center" shrinkToFit="1"/>
    </xf>
    <xf numFmtId="46" fontId="6" fillId="3" borderId="6" xfId="0" applyNumberFormat="1" applyFont="1" applyFill="1" applyBorder="1" applyAlignment="1">
      <alignment horizontal="center" vertical="center" shrinkToFit="1"/>
    </xf>
    <xf numFmtId="229" fontId="6" fillId="3" borderId="6" xfId="0" applyNumberFormat="1" applyFont="1" applyFill="1" applyBorder="1" applyAlignment="1">
      <alignment vertical="center" shrinkToFit="1"/>
    </xf>
    <xf numFmtId="21" fontId="6" fillId="3" borderId="6" xfId="0" applyNumberFormat="1" applyFont="1" applyFill="1" applyBorder="1" applyAlignment="1">
      <alignment horizontal="center" vertical="center" shrinkToFit="1"/>
    </xf>
    <xf numFmtId="230" fontId="6" fillId="3" borderId="6" xfId="0" applyNumberFormat="1" applyFont="1" applyFill="1" applyBorder="1" applyAlignment="1">
      <alignment vertical="center" shrinkToFit="1"/>
    </xf>
    <xf numFmtId="21" fontId="6" fillId="3" borderId="6" xfId="0" quotePrefix="1" applyNumberFormat="1" applyFont="1" applyFill="1" applyBorder="1" applyAlignment="1">
      <alignment horizontal="center" vertical="center" shrinkToFit="1"/>
    </xf>
    <xf numFmtId="231" fontId="6" fillId="3" borderId="6" xfId="0" applyNumberFormat="1" applyFont="1" applyFill="1" applyBorder="1" applyAlignment="1">
      <alignment vertical="center" shrinkToFit="1"/>
    </xf>
    <xf numFmtId="0" fontId="6" fillId="3" borderId="6" xfId="0" applyFont="1" applyFill="1" applyBorder="1" applyAlignment="1">
      <alignment vertical="center" shrinkToFit="1"/>
    </xf>
    <xf numFmtId="0" fontId="6" fillId="3" borderId="8" xfId="0" applyFont="1" applyFill="1" applyBorder="1" applyAlignment="1">
      <alignment horizontal="left" vertical="center" shrinkToFit="1"/>
    </xf>
    <xf numFmtId="0" fontId="6" fillId="3" borderId="8" xfId="0" applyFont="1" applyFill="1" applyBorder="1" applyAlignment="1">
      <alignment vertical="center" shrinkToFit="1"/>
    </xf>
    <xf numFmtId="14" fontId="0" fillId="0" borderId="0" xfId="0" applyNumberFormat="1"/>
    <xf numFmtId="0" fontId="13" fillId="0" borderId="0" xfId="0" applyFont="1" applyProtection="1">
      <protection locked="0"/>
    </xf>
    <xf numFmtId="0" fontId="14" fillId="0" borderId="0" xfId="2">
      <alignment vertical="center"/>
    </xf>
    <xf numFmtId="49" fontId="14" fillId="0" borderId="0" xfId="2" applyNumberFormat="1">
      <alignment vertical="center"/>
    </xf>
    <xf numFmtId="0" fontId="17" fillId="0" borderId="0" xfId="0" applyFont="1" applyProtection="1">
      <protection locked="0"/>
    </xf>
    <xf numFmtId="0" fontId="18" fillId="0" borderId="0" xfId="0" applyFont="1"/>
    <xf numFmtId="0" fontId="19" fillId="0" borderId="0" xfId="1" applyFont="1" applyAlignment="1" applyProtection="1">
      <protection locked="0"/>
    </xf>
    <xf numFmtId="0" fontId="16" fillId="7" borderId="0" xfId="2" applyFont="1" applyFill="1" applyAlignment="1">
      <alignment horizontal="center" vertical="center"/>
    </xf>
    <xf numFmtId="49" fontId="16" fillId="7" borderId="0" xfId="2" applyNumberFormat="1" applyFont="1" applyFill="1" applyAlignment="1">
      <alignment horizontal="center" vertical="center"/>
    </xf>
    <xf numFmtId="0" fontId="20" fillId="0" borderId="0" xfId="0" applyFont="1" applyProtection="1">
      <protection locked="0"/>
    </xf>
    <xf numFmtId="0" fontId="21" fillId="0" borderId="0" xfId="0" applyFont="1" applyProtection="1">
      <protection locked="0"/>
    </xf>
    <xf numFmtId="0" fontId="10" fillId="6" borderId="0" xfId="0" applyFont="1" applyFill="1" applyAlignment="1">
      <alignment vertical="center" shrinkToFit="1"/>
    </xf>
    <xf numFmtId="0" fontId="10" fillId="6" borderId="7" xfId="0" applyFont="1" applyFill="1" applyBorder="1" applyAlignment="1">
      <alignment vertical="center" shrinkToFit="1"/>
    </xf>
    <xf numFmtId="0" fontId="10" fillId="6" borderId="0" xfId="0" applyFont="1" applyFill="1" applyAlignment="1">
      <alignment vertical="center" wrapText="1" shrinkToFit="1"/>
    </xf>
    <xf numFmtId="0" fontId="11" fillId="6" borderId="12" xfId="0" applyFont="1" applyFill="1" applyBorder="1" applyAlignment="1">
      <alignment vertical="center" shrinkToFit="1"/>
    </xf>
    <xf numFmtId="0" fontId="11" fillId="6" borderId="13" xfId="0" applyFont="1" applyFill="1" applyBorder="1" applyAlignment="1">
      <alignment vertical="center" shrinkToFit="1"/>
    </xf>
    <xf numFmtId="22" fontId="11" fillId="5" borderId="0" xfId="0" applyNumberFormat="1" applyFont="1" applyFill="1" applyAlignment="1">
      <alignment horizontal="left" vertical="center" wrapText="1" shrinkToFit="1"/>
    </xf>
    <xf numFmtId="22" fontId="11" fillId="5" borderId="7" xfId="0" quotePrefix="1" applyNumberFormat="1" applyFont="1" applyFill="1" applyBorder="1" applyAlignment="1">
      <alignment horizontal="left" vertical="center" shrinkToFit="1"/>
    </xf>
    <xf numFmtId="22" fontId="11" fillId="5" borderId="0" xfId="0" quotePrefix="1" applyNumberFormat="1" applyFont="1" applyFill="1" applyAlignment="1">
      <alignment horizontal="left" vertical="center" shrinkToFit="1"/>
    </xf>
  </cellXfs>
  <cellStyles count="3">
    <cellStyle name="常规" xfId="0" builtinId="0"/>
    <cellStyle name="常规 2" xfId="2" xr:uid="{A87005D4-C6D9-C04E-85E4-F69290A2DF6B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2:L62"/>
  <sheetViews>
    <sheetView tabSelected="1" topLeftCell="A26" zoomScale="150" zoomScaleNormal="150" zoomScaleSheetLayoutView="90" workbookViewId="0">
      <selection activeCell="F37" sqref="F37"/>
    </sheetView>
  </sheetViews>
  <sheetFormatPr baseColWidth="10" defaultColWidth="9" defaultRowHeight="15"/>
  <cols>
    <col min="1" max="3" width="9" style="1"/>
    <col min="4" max="4" width="18.5" style="1" bestFit="1" customWidth="1"/>
    <col min="5" max="6" width="9" style="1"/>
    <col min="7" max="8" width="9.33203125" style="1" bestFit="1" customWidth="1"/>
    <col min="9" max="16384" width="9" style="1"/>
  </cols>
  <sheetData>
    <row r="2" spans="1:9" s="2" customFormat="1" ht="16" thickBot="1"/>
    <row r="3" spans="1:9" ht="16" thickTop="1"/>
    <row r="4" spans="1:9" s="3" customFormat="1" ht="14">
      <c r="A4" s="3" t="s">
        <v>0</v>
      </c>
      <c r="B4" s="5" t="s">
        <v>2</v>
      </c>
    </row>
    <row r="5" spans="1:9" s="3" customFormat="1" ht="14"/>
    <row r="6" spans="1:9" s="3" customFormat="1" ht="14">
      <c r="B6" s="6" t="s">
        <v>17</v>
      </c>
    </row>
    <row r="7" spans="1:9" s="3" customFormat="1" ht="14"/>
    <row r="8" spans="1:9" s="3" customFormat="1" ht="14">
      <c r="B8" s="9" t="s">
        <v>3</v>
      </c>
      <c r="C8" s="10" t="s">
        <v>4</v>
      </c>
      <c r="D8" s="10" t="s">
        <v>5</v>
      </c>
    </row>
    <row r="9" spans="1:9" s="3" customFormat="1" ht="14">
      <c r="B9" s="11" t="s">
        <v>6</v>
      </c>
      <c r="C9" s="12">
        <v>-25636</v>
      </c>
      <c r="D9" s="13">
        <f>C9</f>
        <v>-25636</v>
      </c>
    </row>
    <row r="10" spans="1:9" s="3" customFormat="1" ht="14">
      <c r="B10" s="11" t="s">
        <v>7</v>
      </c>
      <c r="C10" s="14">
        <v>10000</v>
      </c>
      <c r="D10" s="15">
        <f t="shared" ref="D10:D16" si="0">C10</f>
        <v>10000</v>
      </c>
    </row>
    <row r="11" spans="1:9" s="3" customFormat="1" ht="14">
      <c r="B11" s="11" t="s">
        <v>8</v>
      </c>
      <c r="C11" s="14">
        <v>1555</v>
      </c>
      <c r="D11" s="16">
        <f t="shared" si="0"/>
        <v>1555</v>
      </c>
    </row>
    <row r="12" spans="1:9" s="3" customFormat="1" ht="14">
      <c r="B12" s="11" t="s">
        <v>9</v>
      </c>
      <c r="C12" s="14">
        <v>39814</v>
      </c>
      <c r="D12" s="17">
        <f t="shared" si="0"/>
        <v>39814</v>
      </c>
    </row>
    <row r="13" spans="1:9" s="3" customFormat="1" ht="14">
      <c r="B13" s="11" t="s">
        <v>10</v>
      </c>
      <c r="C13" s="14">
        <v>0.69805555555555554</v>
      </c>
      <c r="D13" s="18">
        <f t="shared" si="0"/>
        <v>0.69805555555555554</v>
      </c>
    </row>
    <row r="14" spans="1:9" s="3" customFormat="1" ht="14">
      <c r="B14" s="11" t="s">
        <v>11</v>
      </c>
      <c r="C14" s="14">
        <v>0.11</v>
      </c>
      <c r="D14" s="19">
        <f t="shared" si="0"/>
        <v>0.11</v>
      </c>
    </row>
    <row r="15" spans="1:9" s="3" customFormat="1" ht="14">
      <c r="B15" s="20" t="s">
        <v>12</v>
      </c>
      <c r="C15" s="14">
        <v>0.1</v>
      </c>
      <c r="D15" s="21">
        <f t="shared" si="0"/>
        <v>0.1</v>
      </c>
    </row>
    <row r="16" spans="1:9" s="3" customFormat="1" ht="14">
      <c r="B16" s="11" t="s">
        <v>13</v>
      </c>
      <c r="C16" s="14">
        <v>120000000000000</v>
      </c>
      <c r="D16" s="14">
        <f t="shared" si="0"/>
        <v>120000000000000</v>
      </c>
      <c r="I16" s="123"/>
    </row>
    <row r="17" spans="2:9" s="3" customFormat="1" ht="14">
      <c r="B17" s="22" t="s">
        <v>14</v>
      </c>
      <c r="C17" s="14">
        <v>2422</v>
      </c>
      <c r="D17" s="12" t="s">
        <v>15</v>
      </c>
    </row>
    <row r="18" spans="2:9" s="3" customFormat="1" ht="14">
      <c r="B18" s="11" t="s">
        <v>16</v>
      </c>
      <c r="C18" s="14">
        <v>25368</v>
      </c>
      <c r="D18" s="23">
        <f>C18</f>
        <v>25368</v>
      </c>
    </row>
    <row r="19" spans="2:9" s="3" customFormat="1" ht="14">
      <c r="C19" s="4"/>
      <c r="F19" s="132"/>
    </row>
    <row r="20" spans="2:9" s="3" customFormat="1">
      <c r="B20" s="3" t="s">
        <v>192</v>
      </c>
      <c r="C20" s="6"/>
      <c r="G20" s="7"/>
    </row>
    <row r="21" spans="2:9" s="3" customFormat="1">
      <c r="B21" s="6"/>
      <c r="C21" s="132" t="s">
        <v>197</v>
      </c>
      <c r="G21" s="7"/>
    </row>
    <row r="22" spans="2:9" s="3" customFormat="1">
      <c r="B22" s="6"/>
      <c r="C22" s="131" t="s">
        <v>194</v>
      </c>
      <c r="G22" s="7"/>
    </row>
    <row r="23" spans="2:9" s="3" customFormat="1">
      <c r="B23" s="6"/>
      <c r="C23" s="131" t="s">
        <v>193</v>
      </c>
      <c r="G23" s="7"/>
    </row>
    <row r="24" spans="2:9" s="3" customFormat="1">
      <c r="B24" s="6"/>
      <c r="C24" s="131" t="s">
        <v>190</v>
      </c>
      <c r="G24" s="7"/>
    </row>
    <row r="25" spans="2:9" s="3" customFormat="1">
      <c r="B25" s="6"/>
      <c r="C25" s="131" t="s">
        <v>170</v>
      </c>
      <c r="G25" s="7"/>
    </row>
    <row r="26" spans="2:9" s="3" customFormat="1" ht="14">
      <c r="C26" s="131" t="s">
        <v>189</v>
      </c>
    </row>
    <row r="27" spans="2:9" s="3" customFormat="1" ht="14">
      <c r="C27" s="132" t="s">
        <v>198</v>
      </c>
      <c r="I27" s="126"/>
    </row>
    <row r="28" spans="2:9" s="3" customFormat="1" ht="14">
      <c r="C28" s="132" t="s">
        <v>195</v>
      </c>
      <c r="I28" s="126"/>
    </row>
    <row r="29" spans="2:9" s="3" customFormat="1" ht="14">
      <c r="C29" s="132" t="s">
        <v>196</v>
      </c>
      <c r="I29" s="126"/>
    </row>
    <row r="30" spans="2:9" s="3" customFormat="1" ht="14">
      <c r="C30" s="126"/>
      <c r="I30" s="126"/>
    </row>
    <row r="31" spans="2:9" s="3" customFormat="1" ht="14">
      <c r="B31" s="6" t="s">
        <v>18</v>
      </c>
      <c r="C31" s="4"/>
    </row>
    <row r="32" spans="2:9" s="3" customFormat="1" ht="14">
      <c r="C32" s="132" t="s">
        <v>171</v>
      </c>
      <c r="D32" s="8"/>
    </row>
    <row r="33" spans="1:12" s="3" customFormat="1" ht="14">
      <c r="D33" s="8"/>
    </row>
    <row r="34" spans="1:12" s="3" customFormat="1" ht="14">
      <c r="B34" s="6" t="s">
        <v>22</v>
      </c>
      <c r="D34" s="8"/>
    </row>
    <row r="35" spans="1:12" s="3" customFormat="1" ht="14">
      <c r="C35" s="132" t="s">
        <v>169</v>
      </c>
      <c r="D35" s="8"/>
    </row>
    <row r="36" spans="1:12" s="3" customFormat="1" ht="14">
      <c r="C36" s="132" t="s">
        <v>199</v>
      </c>
      <c r="D36" s="8"/>
    </row>
    <row r="37" spans="1:12" s="3" customFormat="1" ht="14">
      <c r="C37" s="132" t="s">
        <v>200</v>
      </c>
      <c r="D37" s="8"/>
    </row>
    <row r="38" spans="1:12" s="3" customFormat="1" ht="14">
      <c r="C38" s="132" t="s">
        <v>201</v>
      </c>
      <c r="D38" s="8"/>
    </row>
    <row r="39" spans="1:12" s="3" customFormat="1" ht="14">
      <c r="C39" s="132"/>
      <c r="D39" s="8"/>
    </row>
    <row r="40" spans="1:12" s="3" customFormat="1" ht="14">
      <c r="C40" s="132" t="s">
        <v>202</v>
      </c>
      <c r="D40" s="8"/>
    </row>
    <row r="41" spans="1:12" s="3" customFormat="1" ht="14">
      <c r="C41" s="132" t="s">
        <v>203</v>
      </c>
      <c r="D41" s="8"/>
    </row>
    <row r="42" spans="1:12" s="3" customFormat="1" ht="14">
      <c r="C42" s="132" t="s">
        <v>204</v>
      </c>
      <c r="D42" s="8"/>
    </row>
    <row r="43" spans="1:12" s="3" customFormat="1" ht="14">
      <c r="C43" s="132" t="s">
        <v>205</v>
      </c>
      <c r="D43" s="8"/>
    </row>
    <row r="44" spans="1:12" s="3" customFormat="1" ht="14">
      <c r="C44" s="132"/>
      <c r="D44" s="8"/>
    </row>
    <row r="45" spans="1:12" s="3" customFormat="1" ht="14">
      <c r="A45" s="3" t="s">
        <v>1</v>
      </c>
      <c r="B45" s="5" t="s">
        <v>19</v>
      </c>
    </row>
    <row r="46" spans="1:12" s="3" customFormat="1" ht="14"/>
    <row r="47" spans="1:12" s="3" customFormat="1" ht="14">
      <c r="B47" s="6" t="s">
        <v>20</v>
      </c>
      <c r="L47" s="128"/>
    </row>
    <row r="48" spans="1:12" s="3" customFormat="1" ht="14">
      <c r="B48" s="6"/>
      <c r="C48" s="132" t="s">
        <v>191</v>
      </c>
      <c r="L48" s="128"/>
    </row>
    <row r="49" spans="2:12" s="3" customFormat="1" ht="14">
      <c r="B49" s="6"/>
      <c r="C49" s="132" t="s">
        <v>168</v>
      </c>
      <c r="L49" s="128"/>
    </row>
    <row r="50" spans="2:12" s="3" customFormat="1" ht="14">
      <c r="C50" s="6"/>
    </row>
    <row r="51" spans="2:12" s="3" customFormat="1" ht="14">
      <c r="B51" s="6" t="s">
        <v>21</v>
      </c>
    </row>
    <row r="52" spans="2:12" s="3" customFormat="1" ht="14"/>
    <row r="53" spans="2:12" s="3" customFormat="1" ht="14">
      <c r="C53" s="6"/>
    </row>
    <row r="54" spans="2:12" s="3" customFormat="1" ht="14">
      <c r="C54" s="6"/>
    </row>
    <row r="55" spans="2:12" s="3" customFormat="1" ht="14"/>
    <row r="56" spans="2:12">
      <c r="B56" s="3"/>
      <c r="C56" s="3"/>
      <c r="E56" s="3"/>
    </row>
    <row r="57" spans="2:12">
      <c r="B57" s="3"/>
      <c r="C57" s="3"/>
      <c r="E57" s="3"/>
    </row>
    <row r="58" spans="2:12">
      <c r="B58" s="3"/>
      <c r="C58" s="3"/>
      <c r="E58" s="3"/>
    </row>
    <row r="59" spans="2:12">
      <c r="B59" s="3"/>
      <c r="E59" s="3"/>
    </row>
    <row r="60" spans="2:12">
      <c r="B60" s="3"/>
      <c r="E60" s="3"/>
    </row>
    <row r="61" spans="2:12">
      <c r="B61" s="3"/>
      <c r="E61" s="3"/>
    </row>
    <row r="62" spans="2:12">
      <c r="B62" s="3"/>
      <c r="E62" s="3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scale="56" orientation="portrait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zoomScale="150" zoomScaleNormal="150" workbookViewId="0">
      <selection activeCell="D13" sqref="D13"/>
    </sheetView>
  </sheetViews>
  <sheetFormatPr baseColWidth="10" defaultColWidth="8.83203125" defaultRowHeight="14"/>
  <cols>
    <col min="1" max="1" width="8.83203125" style="127"/>
    <col min="2" max="2" width="20.83203125" style="127" bestFit="1" customWidth="1"/>
    <col min="3" max="3" width="10" style="127" bestFit="1" customWidth="1"/>
    <col min="4" max="16384" width="8.83203125" style="127"/>
  </cols>
  <sheetData>
    <row r="1" spans="1:3">
      <c r="A1" s="129" t="s">
        <v>188</v>
      </c>
      <c r="B1" s="130" t="s">
        <v>187</v>
      </c>
      <c r="C1" s="129" t="s">
        <v>186</v>
      </c>
    </row>
    <row r="2" spans="1:3">
      <c r="A2" s="124">
        <v>7345</v>
      </c>
      <c r="B2" s="125" t="s">
        <v>185</v>
      </c>
      <c r="C2" s="124"/>
    </row>
    <row r="3" spans="1:3">
      <c r="A3" s="124">
        <v>848</v>
      </c>
      <c r="B3" s="125" t="s">
        <v>184</v>
      </c>
      <c r="C3" s="124"/>
    </row>
    <row r="4" spans="1:3">
      <c r="A4" s="124">
        <v>9499</v>
      </c>
      <c r="B4" s="125" t="s">
        <v>183</v>
      </c>
      <c r="C4" s="124"/>
    </row>
    <row r="5" spans="1:3">
      <c r="A5" s="124">
        <v>8716</v>
      </c>
      <c r="B5" s="125" t="s">
        <v>182</v>
      </c>
      <c r="C5" s="124"/>
    </row>
    <row r="6" spans="1:3">
      <c r="A6" s="124">
        <v>6261</v>
      </c>
      <c r="B6" s="125" t="s">
        <v>181</v>
      </c>
      <c r="C6" s="124"/>
    </row>
    <row r="7" spans="1:3">
      <c r="A7" s="124">
        <v>3045</v>
      </c>
      <c r="B7" s="125" t="s">
        <v>180</v>
      </c>
      <c r="C7" s="124"/>
    </row>
    <row r="8" spans="1:3">
      <c r="A8" s="124">
        <v>6374</v>
      </c>
      <c r="B8" s="125" t="s">
        <v>179</v>
      </c>
      <c r="C8" s="124"/>
    </row>
    <row r="9" spans="1:3">
      <c r="A9" s="124">
        <v>5200</v>
      </c>
      <c r="B9" s="125" t="s">
        <v>178</v>
      </c>
      <c r="C9" s="124"/>
    </row>
    <row r="10" spans="1:3">
      <c r="A10" s="124">
        <v>9456</v>
      </c>
      <c r="B10" s="125" t="s">
        <v>177</v>
      </c>
      <c r="C10" s="124"/>
    </row>
    <row r="11" spans="1:3">
      <c r="A11" s="124">
        <v>6596</v>
      </c>
      <c r="B11" s="125" t="s">
        <v>176</v>
      </c>
      <c r="C11" s="124"/>
    </row>
    <row r="12" spans="1:3">
      <c r="A12" s="124">
        <v>9967</v>
      </c>
      <c r="B12" s="125" t="s">
        <v>175</v>
      </c>
      <c r="C12" s="124"/>
    </row>
    <row r="13" spans="1:3">
      <c r="A13" s="124">
        <v>7440</v>
      </c>
      <c r="B13" s="125" t="s">
        <v>174</v>
      </c>
      <c r="C13" s="124"/>
    </row>
    <row r="14" spans="1:3">
      <c r="A14" s="124">
        <v>2149</v>
      </c>
      <c r="B14" s="125" t="s">
        <v>173</v>
      </c>
      <c r="C14" s="124"/>
    </row>
    <row r="15" spans="1:3">
      <c r="A15" s="124">
        <v>2896</v>
      </c>
      <c r="B15" s="125" t="s">
        <v>172</v>
      </c>
      <c r="C15" s="124"/>
    </row>
  </sheetData>
  <phoneticPr fontId="7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9"/>
  <sheetViews>
    <sheetView zoomScale="140" zoomScaleNormal="140" workbookViewId="0"/>
  </sheetViews>
  <sheetFormatPr baseColWidth="10" defaultColWidth="8.83203125" defaultRowHeight="15"/>
  <cols>
    <col min="1" max="1" width="9.1640625" customWidth="1"/>
  </cols>
  <sheetData>
    <row r="1" spans="1:1">
      <c r="A1" t="s">
        <v>149</v>
      </c>
    </row>
    <row r="2" spans="1:1">
      <c r="A2" s="122" t="s">
        <v>150</v>
      </c>
    </row>
    <row r="3" spans="1:1">
      <c r="A3" s="122" t="s">
        <v>151</v>
      </c>
    </row>
    <row r="4" spans="1:1">
      <c r="A4" s="122" t="s">
        <v>152</v>
      </c>
    </row>
    <row r="5" spans="1:1">
      <c r="A5" s="122" t="s">
        <v>153</v>
      </c>
    </row>
    <row r="6" spans="1:1">
      <c r="A6" s="122" t="s">
        <v>154</v>
      </c>
    </row>
    <row r="7" spans="1:1">
      <c r="A7" s="122" t="s">
        <v>155</v>
      </c>
    </row>
    <row r="8" spans="1:1">
      <c r="A8" s="122" t="s">
        <v>156</v>
      </c>
    </row>
    <row r="9" spans="1:1">
      <c r="A9" s="122" t="s">
        <v>157</v>
      </c>
    </row>
    <row r="10" spans="1:1">
      <c r="A10" s="122" t="s">
        <v>158</v>
      </c>
    </row>
    <row r="11" spans="1:1">
      <c r="A11" s="122" t="s">
        <v>159</v>
      </c>
    </row>
    <row r="12" spans="1:1">
      <c r="A12" s="122" t="s">
        <v>160</v>
      </c>
    </row>
    <row r="13" spans="1:1">
      <c r="A13" s="122" t="s">
        <v>161</v>
      </c>
    </row>
    <row r="14" spans="1:1">
      <c r="A14" s="122" t="s">
        <v>162</v>
      </c>
    </row>
    <row r="15" spans="1:1">
      <c r="A15" s="122" t="s">
        <v>163</v>
      </c>
    </row>
    <row r="16" spans="1:1">
      <c r="A16" s="122" t="s">
        <v>164</v>
      </c>
    </row>
    <row r="17" spans="1:1">
      <c r="A17" s="122" t="s">
        <v>165</v>
      </c>
    </row>
    <row r="18" spans="1:1">
      <c r="A18" s="122" t="s">
        <v>166</v>
      </c>
    </row>
    <row r="19" spans="1:1">
      <c r="A19" s="122" t="s">
        <v>167</v>
      </c>
    </row>
  </sheetData>
  <phoneticPr fontId="7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3"/>
  <sheetViews>
    <sheetView zoomScale="150" zoomScaleNormal="150" workbookViewId="0">
      <selection activeCell="G25" sqref="G25"/>
    </sheetView>
  </sheetViews>
  <sheetFormatPr baseColWidth="10" defaultColWidth="8.83203125" defaultRowHeight="15"/>
  <cols>
    <col min="1" max="1" width="28.6640625" bestFit="1" customWidth="1"/>
    <col min="2" max="2" width="44.6640625" bestFit="1" customWidth="1"/>
    <col min="3" max="3" width="9.33203125" bestFit="1" customWidth="1"/>
    <col min="4" max="4" width="18.6640625" bestFit="1" customWidth="1"/>
  </cols>
  <sheetData>
    <row r="1" spans="1:4">
      <c r="A1" s="24" t="s">
        <v>23</v>
      </c>
      <c r="B1" s="24" t="s">
        <v>24</v>
      </c>
      <c r="C1" s="24" t="s">
        <v>25</v>
      </c>
      <c r="D1" s="24" t="s">
        <v>26</v>
      </c>
    </row>
    <row r="2" spans="1:4">
      <c r="A2" s="25" t="s">
        <v>27</v>
      </c>
      <c r="B2" s="26" t="s">
        <v>57</v>
      </c>
      <c r="C2" s="27">
        <v>752</v>
      </c>
      <c r="D2" s="28">
        <f t="shared" ref="D2:D7" si="0">C2</f>
        <v>752</v>
      </c>
    </row>
    <row r="3" spans="1:4">
      <c r="A3" s="29" t="s">
        <v>58</v>
      </c>
      <c r="B3" s="30" t="s">
        <v>59</v>
      </c>
      <c r="C3" s="31" t="s">
        <v>60</v>
      </c>
      <c r="D3" s="32" t="str">
        <f t="shared" si="0"/>
        <v>广州</v>
      </c>
    </row>
    <row r="4" spans="1:4">
      <c r="A4" s="29" t="s">
        <v>61</v>
      </c>
      <c r="B4" s="33" t="s">
        <v>62</v>
      </c>
      <c r="C4" s="31">
        <v>1254</v>
      </c>
      <c r="D4" s="34">
        <f t="shared" si="0"/>
        <v>1254</v>
      </c>
    </row>
    <row r="5" spans="1:4">
      <c r="A5" s="29" t="s">
        <v>63</v>
      </c>
      <c r="B5" s="33" t="s">
        <v>28</v>
      </c>
      <c r="C5" s="31">
        <v>1254</v>
      </c>
      <c r="D5" s="35">
        <f t="shared" si="0"/>
        <v>1254</v>
      </c>
    </row>
    <row r="6" spans="1:4">
      <c r="A6" s="29" t="s">
        <v>64</v>
      </c>
      <c r="B6" s="33" t="s">
        <v>65</v>
      </c>
      <c r="C6" s="31">
        <v>124635</v>
      </c>
      <c r="D6" s="36">
        <f t="shared" si="0"/>
        <v>124635</v>
      </c>
    </row>
    <row r="7" spans="1:4">
      <c r="A7" s="37" t="s">
        <v>66</v>
      </c>
      <c r="B7" s="38" t="s">
        <v>67</v>
      </c>
      <c r="C7" s="39">
        <v>58.12</v>
      </c>
      <c r="D7" s="40">
        <f t="shared" si="0"/>
        <v>58.12</v>
      </c>
    </row>
    <row r="8" spans="1:4">
      <c r="A8" s="41" t="s">
        <v>29</v>
      </c>
      <c r="B8" s="42" t="s">
        <v>68</v>
      </c>
      <c r="C8" s="43">
        <v>1234.5899999999999</v>
      </c>
      <c r="D8" s="44">
        <f t="shared" ref="D8:D14" si="1">C8</f>
        <v>1234.5899999999999</v>
      </c>
    </row>
    <row r="9" spans="1:4">
      <c r="A9" s="45" t="s">
        <v>30</v>
      </c>
      <c r="B9" s="46" t="s">
        <v>69</v>
      </c>
      <c r="C9" s="47">
        <v>0.88</v>
      </c>
      <c r="D9" s="48">
        <f t="shared" si="1"/>
        <v>0.88</v>
      </c>
    </row>
    <row r="10" spans="1:4">
      <c r="A10" s="45" t="s">
        <v>31</v>
      </c>
      <c r="B10" s="46" t="s">
        <v>70</v>
      </c>
      <c r="C10" s="47">
        <v>0.63100000000000001</v>
      </c>
      <c r="D10" s="49">
        <f t="shared" si="1"/>
        <v>0.63100000000000001</v>
      </c>
    </row>
    <row r="11" spans="1:4">
      <c r="A11" s="45" t="s">
        <v>71</v>
      </c>
      <c r="B11" s="46" t="s">
        <v>72</v>
      </c>
      <c r="C11" s="47">
        <v>12</v>
      </c>
      <c r="D11" s="50">
        <f t="shared" si="1"/>
        <v>12</v>
      </c>
    </row>
    <row r="12" spans="1:4">
      <c r="A12" s="45" t="s">
        <v>73</v>
      </c>
      <c r="B12" s="46" t="s">
        <v>74</v>
      </c>
      <c r="C12" s="47">
        <v>1</v>
      </c>
      <c r="D12" s="51">
        <f t="shared" si="1"/>
        <v>1</v>
      </c>
    </row>
    <row r="13" spans="1:4">
      <c r="A13" s="45" t="s">
        <v>75</v>
      </c>
      <c r="B13" s="46" t="s">
        <v>76</v>
      </c>
      <c r="C13" s="47">
        <v>2.25</v>
      </c>
      <c r="D13" s="52">
        <f t="shared" si="1"/>
        <v>2.25</v>
      </c>
    </row>
    <row r="14" spans="1:4">
      <c r="A14" s="45" t="s">
        <v>77</v>
      </c>
      <c r="B14" s="46" t="s">
        <v>32</v>
      </c>
      <c r="C14" s="47">
        <v>3456</v>
      </c>
      <c r="D14" s="53">
        <f t="shared" si="1"/>
        <v>3456</v>
      </c>
    </row>
    <row r="15" spans="1:4">
      <c r="A15" s="133" t="s">
        <v>78</v>
      </c>
      <c r="B15" s="133"/>
      <c r="C15" s="133"/>
      <c r="D15" s="134"/>
    </row>
    <row r="16" spans="1:4">
      <c r="A16" s="54" t="s">
        <v>79</v>
      </c>
      <c r="B16" s="46" t="s">
        <v>80</v>
      </c>
      <c r="C16" s="47">
        <v>12000</v>
      </c>
      <c r="D16" s="55">
        <f>C16</f>
        <v>12000</v>
      </c>
    </row>
    <row r="17" spans="1:4">
      <c r="A17" s="54" t="s">
        <v>81</v>
      </c>
      <c r="B17" s="46" t="s">
        <v>82</v>
      </c>
      <c r="C17" s="47">
        <v>12000</v>
      </c>
      <c r="D17" s="56">
        <f t="shared" ref="D17:D18" si="2">C17</f>
        <v>12000</v>
      </c>
    </row>
    <row r="18" spans="1:4">
      <c r="A18" s="54" t="s">
        <v>83</v>
      </c>
      <c r="B18" s="46" t="s">
        <v>84</v>
      </c>
      <c r="C18" s="47">
        <v>12000000</v>
      </c>
      <c r="D18" s="57">
        <f t="shared" si="2"/>
        <v>12000000</v>
      </c>
    </row>
    <row r="19" spans="1:4" ht="25.5" customHeight="1">
      <c r="A19" s="135" t="s">
        <v>85</v>
      </c>
      <c r="B19" s="133"/>
      <c r="C19" s="133"/>
      <c r="D19" s="134"/>
    </row>
    <row r="20" spans="1:4">
      <c r="A20" s="58" t="s">
        <v>86</v>
      </c>
      <c r="B20" s="58" t="s">
        <v>87</v>
      </c>
      <c r="C20" s="58" t="s">
        <v>88</v>
      </c>
      <c r="D20" s="59" t="s">
        <v>89</v>
      </c>
    </row>
    <row r="21" spans="1:4">
      <c r="A21" s="58" t="s">
        <v>90</v>
      </c>
      <c r="B21" s="58" t="s">
        <v>91</v>
      </c>
      <c r="C21" s="58" t="s">
        <v>92</v>
      </c>
      <c r="D21" s="59" t="s">
        <v>93</v>
      </c>
    </row>
    <row r="22" spans="1:4">
      <c r="A22" s="60" t="s">
        <v>94</v>
      </c>
      <c r="B22" s="61" t="s">
        <v>95</v>
      </c>
      <c r="C22" s="62">
        <v>99</v>
      </c>
      <c r="D22" s="63">
        <f>C22</f>
        <v>99</v>
      </c>
    </row>
    <row r="23" spans="1:4">
      <c r="A23" s="136" t="s">
        <v>96</v>
      </c>
      <c r="B23" s="136"/>
      <c r="C23" s="136"/>
      <c r="D23" s="137"/>
    </row>
    <row r="24" spans="1:4">
      <c r="A24" s="64" t="s">
        <v>33</v>
      </c>
      <c r="B24" s="65" t="s">
        <v>97</v>
      </c>
      <c r="C24" s="66" t="s">
        <v>98</v>
      </c>
      <c r="D24" s="67">
        <f t="shared" ref="D24:D32" ca="1" si="3">NOW()</f>
        <v>46283.697333217591</v>
      </c>
    </row>
    <row r="25" spans="1:4">
      <c r="A25" s="68" t="s">
        <v>34</v>
      </c>
      <c r="B25" s="69" t="s">
        <v>99</v>
      </c>
      <c r="C25" s="70" t="s">
        <v>98</v>
      </c>
      <c r="D25" s="71">
        <f t="shared" ca="1" si="3"/>
        <v>46283.697333217591</v>
      </c>
    </row>
    <row r="26" spans="1:4">
      <c r="A26" s="68" t="s">
        <v>35</v>
      </c>
      <c r="B26" s="69" t="s">
        <v>100</v>
      </c>
      <c r="C26" s="70" t="s">
        <v>98</v>
      </c>
      <c r="D26" s="72">
        <f t="shared" ca="1" si="3"/>
        <v>46283.697333217591</v>
      </c>
    </row>
    <row r="27" spans="1:4">
      <c r="A27" s="68" t="s">
        <v>36</v>
      </c>
      <c r="B27" s="69" t="s">
        <v>101</v>
      </c>
      <c r="C27" s="70" t="s">
        <v>98</v>
      </c>
      <c r="D27" s="73">
        <f t="shared" ca="1" si="3"/>
        <v>46283.697333217591</v>
      </c>
    </row>
    <row r="28" spans="1:4">
      <c r="A28" s="68" t="s">
        <v>37</v>
      </c>
      <c r="B28" s="69" t="s">
        <v>102</v>
      </c>
      <c r="C28" s="70" t="s">
        <v>98</v>
      </c>
      <c r="D28" s="74">
        <f t="shared" ca="1" si="3"/>
        <v>46283.697333217591</v>
      </c>
    </row>
    <row r="29" spans="1:4">
      <c r="A29" s="68" t="s">
        <v>38</v>
      </c>
      <c r="B29" s="69" t="s">
        <v>103</v>
      </c>
      <c r="C29" s="70" t="s">
        <v>98</v>
      </c>
      <c r="D29" s="75">
        <f t="shared" ca="1" si="3"/>
        <v>46283.697333217591</v>
      </c>
    </row>
    <row r="30" spans="1:4">
      <c r="A30" s="68" t="s">
        <v>39</v>
      </c>
      <c r="B30" s="69" t="s">
        <v>104</v>
      </c>
      <c r="C30" s="70" t="s">
        <v>98</v>
      </c>
      <c r="D30" s="76">
        <f t="shared" ca="1" si="3"/>
        <v>46283.697333217591</v>
      </c>
    </row>
    <row r="31" spans="1:4">
      <c r="A31" s="68" t="s">
        <v>40</v>
      </c>
      <c r="B31" s="69" t="s">
        <v>105</v>
      </c>
      <c r="C31" s="70" t="s">
        <v>98</v>
      </c>
      <c r="D31" s="77">
        <f t="shared" ca="1" si="3"/>
        <v>46283.697333217591</v>
      </c>
    </row>
    <row r="32" spans="1:4">
      <c r="A32" s="68" t="s">
        <v>41</v>
      </c>
      <c r="B32" s="69" t="s">
        <v>106</v>
      </c>
      <c r="C32" s="70" t="s">
        <v>98</v>
      </c>
      <c r="D32" s="78">
        <f t="shared" ca="1" si="3"/>
        <v>46283.697333217591</v>
      </c>
    </row>
    <row r="33" spans="1:4">
      <c r="A33" s="68" t="s">
        <v>42</v>
      </c>
      <c r="B33" s="69" t="s">
        <v>107</v>
      </c>
      <c r="C33" s="70" t="s">
        <v>98</v>
      </c>
      <c r="D33" s="79">
        <v>36255</v>
      </c>
    </row>
    <row r="34" spans="1:4">
      <c r="A34" s="68" t="s">
        <v>43</v>
      </c>
      <c r="B34" s="69" t="s">
        <v>108</v>
      </c>
      <c r="C34" s="70" t="s">
        <v>98</v>
      </c>
      <c r="D34" s="80">
        <f ca="1">NOW()</f>
        <v>46283.697333217591</v>
      </c>
    </row>
    <row r="35" spans="1:4">
      <c r="A35" s="68" t="s">
        <v>44</v>
      </c>
      <c r="B35" s="69" t="s">
        <v>109</v>
      </c>
      <c r="C35" s="70" t="s">
        <v>98</v>
      </c>
      <c r="D35" s="81">
        <f ca="1">NOW()</f>
        <v>46283.697333217591</v>
      </c>
    </row>
    <row r="36" spans="1:4">
      <c r="A36" s="68" t="s">
        <v>45</v>
      </c>
      <c r="B36" s="69" t="s">
        <v>110</v>
      </c>
      <c r="C36" s="70" t="s">
        <v>98</v>
      </c>
      <c r="D36" s="82">
        <f ca="1">NOW()</f>
        <v>46283.697333217591</v>
      </c>
    </row>
    <row r="37" spans="1:4">
      <c r="A37" s="68" t="s">
        <v>46</v>
      </c>
      <c r="B37" s="69" t="s">
        <v>97</v>
      </c>
      <c r="C37" s="138" t="s">
        <v>111</v>
      </c>
      <c r="D37" s="139"/>
    </row>
    <row r="38" spans="1:4">
      <c r="A38" s="68" t="s">
        <v>47</v>
      </c>
      <c r="B38" s="69" t="s">
        <v>99</v>
      </c>
      <c r="C38" s="140"/>
      <c r="D38" s="139"/>
    </row>
    <row r="39" spans="1:4">
      <c r="A39" s="68" t="s">
        <v>48</v>
      </c>
      <c r="B39" s="69" t="s">
        <v>112</v>
      </c>
      <c r="C39" s="70" t="s">
        <v>98</v>
      </c>
      <c r="D39" s="83">
        <f t="shared" ref="D39:D44" ca="1" si="4">NOW()</f>
        <v>46283.697333217591</v>
      </c>
    </row>
    <row r="40" spans="1:4">
      <c r="A40" s="68" t="s">
        <v>49</v>
      </c>
      <c r="B40" s="69" t="s">
        <v>113</v>
      </c>
      <c r="C40" s="70" t="s">
        <v>98</v>
      </c>
      <c r="D40" s="84">
        <f t="shared" ca="1" si="4"/>
        <v>46283.697333217591</v>
      </c>
    </row>
    <row r="41" spans="1:4">
      <c r="A41" s="68" t="s">
        <v>50</v>
      </c>
      <c r="B41" s="69" t="s">
        <v>114</v>
      </c>
      <c r="C41" s="70" t="s">
        <v>98</v>
      </c>
      <c r="D41" s="85">
        <f t="shared" ca="1" si="4"/>
        <v>46283.697333217591</v>
      </c>
    </row>
    <row r="42" spans="1:4">
      <c r="A42" s="68" t="s">
        <v>51</v>
      </c>
      <c r="B42" s="69" t="s">
        <v>115</v>
      </c>
      <c r="C42" s="70" t="s">
        <v>98</v>
      </c>
      <c r="D42" s="86">
        <f t="shared" ca="1" si="4"/>
        <v>46283.697333217591</v>
      </c>
    </row>
    <row r="43" spans="1:4">
      <c r="A43" s="68" t="s">
        <v>116</v>
      </c>
      <c r="B43" s="69" t="s">
        <v>52</v>
      </c>
      <c r="C43" s="70" t="s">
        <v>98</v>
      </c>
      <c r="D43" s="87">
        <f t="shared" ca="1" si="4"/>
        <v>46283.697333217591</v>
      </c>
    </row>
    <row r="44" spans="1:4">
      <c r="A44" s="68" t="s">
        <v>53</v>
      </c>
      <c r="B44" s="69" t="s">
        <v>117</v>
      </c>
      <c r="C44" s="70" t="s">
        <v>98</v>
      </c>
      <c r="D44" s="88">
        <f t="shared" ca="1" si="4"/>
        <v>46283.697333217591</v>
      </c>
    </row>
    <row r="45" spans="1:4">
      <c r="A45" s="68" t="s">
        <v>118</v>
      </c>
      <c r="B45" s="69" t="s">
        <v>119</v>
      </c>
      <c r="C45" s="89">
        <v>1</v>
      </c>
      <c r="D45" s="90">
        <v>1</v>
      </c>
    </row>
    <row r="46" spans="1:4">
      <c r="A46" s="68" t="s">
        <v>120</v>
      </c>
      <c r="B46" s="69" t="s">
        <v>121</v>
      </c>
      <c r="C46" s="89">
        <v>1</v>
      </c>
      <c r="D46" s="91">
        <v>1</v>
      </c>
    </row>
    <row r="47" spans="1:4">
      <c r="A47" s="68" t="s">
        <v>54</v>
      </c>
      <c r="B47" s="69" t="s">
        <v>122</v>
      </c>
      <c r="C47" s="89">
        <v>1</v>
      </c>
      <c r="D47" s="92">
        <v>1</v>
      </c>
    </row>
    <row r="48" spans="1:4">
      <c r="A48" s="93" t="s">
        <v>55</v>
      </c>
      <c r="B48" s="94" t="s">
        <v>123</v>
      </c>
      <c r="C48" s="95" t="s">
        <v>98</v>
      </c>
      <c r="D48" s="96">
        <f ca="1">NOW()</f>
        <v>46283.697333217591</v>
      </c>
    </row>
    <row r="49" spans="1:4">
      <c r="A49" s="97" t="s">
        <v>124</v>
      </c>
      <c r="B49" s="42" t="s">
        <v>125</v>
      </c>
      <c r="C49" s="43">
        <v>-112</v>
      </c>
      <c r="D49" s="98">
        <v>-112</v>
      </c>
    </row>
    <row r="50" spans="1:4">
      <c r="A50" s="99" t="s">
        <v>126</v>
      </c>
      <c r="B50" s="100" t="s">
        <v>127</v>
      </c>
      <c r="C50" s="47">
        <v>4</v>
      </c>
      <c r="D50" s="101">
        <v>4</v>
      </c>
    </row>
    <row r="51" spans="1:4">
      <c r="A51" s="102" t="s">
        <v>128</v>
      </c>
      <c r="B51" s="46" t="s">
        <v>129</v>
      </c>
      <c r="C51" s="47">
        <v>56</v>
      </c>
      <c r="D51" s="103">
        <v>56</v>
      </c>
    </row>
    <row r="52" spans="1:4">
      <c r="A52" s="102" t="s">
        <v>130</v>
      </c>
      <c r="B52" s="46" t="s">
        <v>131</v>
      </c>
      <c r="C52" s="104">
        <v>38482</v>
      </c>
      <c r="D52" s="105">
        <v>38482</v>
      </c>
    </row>
    <row r="53" spans="1:4">
      <c r="A53" s="102" t="s">
        <v>132</v>
      </c>
      <c r="B53" s="46" t="s">
        <v>56</v>
      </c>
      <c r="C53" s="104">
        <v>38687</v>
      </c>
      <c r="D53" s="106">
        <v>38687</v>
      </c>
    </row>
    <row r="54" spans="1:4">
      <c r="A54" s="102" t="s">
        <v>133</v>
      </c>
      <c r="B54" s="46" t="s">
        <v>134</v>
      </c>
      <c r="C54" s="107" t="s">
        <v>98</v>
      </c>
      <c r="D54" s="108">
        <f ca="1">NOW()</f>
        <v>46283.697333217591</v>
      </c>
    </row>
    <row r="55" spans="1:4">
      <c r="A55" s="102" t="s">
        <v>135</v>
      </c>
      <c r="B55" s="46" t="s">
        <v>136</v>
      </c>
      <c r="C55" s="107" t="s">
        <v>98</v>
      </c>
      <c r="D55" s="109">
        <f ca="1">NOW()</f>
        <v>46283.697333217591</v>
      </c>
    </row>
    <row r="56" spans="1:4">
      <c r="A56" s="102" t="s">
        <v>137</v>
      </c>
      <c r="B56" s="46" t="s">
        <v>138</v>
      </c>
      <c r="C56" s="107" t="s">
        <v>98</v>
      </c>
      <c r="D56" s="110">
        <f ca="1">NOW()</f>
        <v>46283.697333217591</v>
      </c>
    </row>
    <row r="57" spans="1:4">
      <c r="A57" s="99" t="s">
        <v>139</v>
      </c>
      <c r="B57" s="46" t="s">
        <v>140</v>
      </c>
      <c r="C57" s="47">
        <v>89</v>
      </c>
      <c r="D57" s="111">
        <v>89</v>
      </c>
    </row>
    <row r="58" spans="1:4">
      <c r="A58" s="99" t="s">
        <v>141</v>
      </c>
      <c r="B58" s="46" t="s">
        <v>142</v>
      </c>
      <c r="C58" s="47">
        <v>2.25</v>
      </c>
      <c r="D58" s="112">
        <v>2.5</v>
      </c>
    </row>
    <row r="59" spans="1:4">
      <c r="A59" s="99" t="s">
        <v>143</v>
      </c>
      <c r="B59" s="46" t="s">
        <v>144</v>
      </c>
      <c r="C59" s="113">
        <v>2.342060185185185</v>
      </c>
      <c r="D59" s="114">
        <f>C59</f>
        <v>2.342060185185185</v>
      </c>
    </row>
    <row r="60" spans="1:4">
      <c r="A60" s="99" t="s">
        <v>145</v>
      </c>
      <c r="B60" s="46" t="s">
        <v>146</v>
      </c>
      <c r="C60" s="115">
        <v>0.99635416666666676</v>
      </c>
      <c r="D60" s="116">
        <f>C59+C60</f>
        <v>3.3384143518518519</v>
      </c>
    </row>
    <row r="61" spans="1:4">
      <c r="A61" s="99" t="s">
        <v>147</v>
      </c>
      <c r="B61" s="46" t="s">
        <v>148</v>
      </c>
      <c r="C61" s="117">
        <v>0.99635416666666676</v>
      </c>
      <c r="D61" s="118">
        <v>0.99635416666666676</v>
      </c>
    </row>
    <row r="62" spans="1:4">
      <c r="A62" s="99"/>
      <c r="B62" s="119"/>
      <c r="C62" s="119"/>
      <c r="D62" s="119"/>
    </row>
    <row r="63" spans="1:4">
      <c r="A63" s="120"/>
      <c r="B63" s="121"/>
      <c r="C63" s="121"/>
      <c r="D63" s="121"/>
    </row>
  </sheetData>
  <mergeCells count="4">
    <mergeCell ref="A15:D15"/>
    <mergeCell ref="A19:D19"/>
    <mergeCell ref="A23:D23"/>
    <mergeCell ref="C37:D38"/>
  </mergeCells>
  <phoneticPr fontId="7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EXCEL课件</vt:lpstr>
      <vt:lpstr>文本格式数据</vt:lpstr>
      <vt:lpstr>分列工具</vt:lpstr>
      <vt:lpstr>数字格式学习表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a30517</cp:lastModifiedBy>
  <cp:lastPrinted>2009-11-19T09:11:05Z</cp:lastPrinted>
  <dcterms:created xsi:type="dcterms:W3CDTF">1996-12-17T01:32:42Z</dcterms:created>
  <dcterms:modified xsi:type="dcterms:W3CDTF">2026-09-18T08:49:05Z</dcterms:modified>
</cp:coreProperties>
</file>