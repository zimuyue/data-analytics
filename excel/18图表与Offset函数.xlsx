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8.xml" ContentType="application/vnd.openxmlformats-officedocument.drawingml.chartshapes+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xml" ContentType="application/vnd.ms-office.chartex+xml"/>
  <Override PartName="/xl/charts/style25.xml" ContentType="application/vnd.ms-office.chartstyle+xml"/>
  <Override PartName="/xl/charts/colors25.xml" ContentType="application/vnd.ms-office.chartcolorstyle+xml"/>
  <Override PartName="/xl/drawings/drawing9.xml" ContentType="application/vnd.openxmlformats-officedocument.drawing+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00C0273F-E33B-404E-9B08-13F4A43DE0C1}" xr6:coauthVersionLast="47" xr6:coauthVersionMax="47" xr10:uidLastSave="{00000000-0000-0000-0000-000000000000}"/>
  <bookViews>
    <workbookView xWindow="0" yWindow="660" windowWidth="29400" windowHeight="18460" activeTab="3"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误差法" sheetId="10" r:id="rId7"/>
    <sheet name="其它图表" sheetId="11" r:id="rId8"/>
    <sheet name="Offset动态图表" sheetId="2" r:id="rId9"/>
    <sheet name="我的练习" sheetId="4" r:id="rId10"/>
  </sheets>
  <definedNames>
    <definedName name="_xlchart.v1.0" hidden="1">其它图表!$B$83:$C$110</definedName>
    <definedName name="_xlchart.v1.1" hidden="1">其它图表!$D$82</definedName>
    <definedName name="_xlchart.v1.2" hidden="1">其它图表!$D$83:$D$110</definedName>
    <definedName name="最后五天开盘价" localSheetId="8">OFFSET(Offset动态图表!$B$1,COUNTA(Offset动态图表!$B:$B)-5,0,5,1)</definedName>
    <definedName name="最后五天日期" localSheetId="8">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1" l="1"/>
  <c r="D7" i="11"/>
  <c r="D8" i="11"/>
  <c r="D5" i="11"/>
  <c r="C49" i="10" l="1"/>
  <c r="C50" i="10"/>
  <c r="C51" i="10"/>
  <c r="C52" i="10"/>
  <c r="C53" i="10"/>
  <c r="C54" i="10"/>
  <c r="C55" i="10"/>
  <c r="C56" i="10"/>
  <c r="C57" i="10"/>
  <c r="C58" i="10"/>
  <c r="C59" i="10"/>
  <c r="C48" i="10"/>
  <c r="B49" i="10"/>
  <c r="B50" i="10"/>
  <c r="B51" i="10"/>
  <c r="B52" i="10"/>
  <c r="B53" i="10"/>
  <c r="B54" i="10"/>
  <c r="B55" i="10"/>
  <c r="B56" i="10"/>
  <c r="B57" i="10"/>
  <c r="B58" i="10"/>
  <c r="B59" i="10"/>
  <c r="B48" i="10"/>
  <c r="A49" i="10"/>
  <c r="A50" i="10"/>
  <c r="A51" i="10"/>
  <c r="A52" i="10"/>
  <c r="A53" i="10"/>
  <c r="A54" i="10"/>
  <c r="A55" i="10"/>
  <c r="A56" i="10"/>
  <c r="A57" i="10"/>
  <c r="A58" i="10"/>
  <c r="A59" i="10"/>
  <c r="A48" i="10"/>
  <c r="C24" i="10"/>
  <c r="C25" i="10"/>
  <c r="C26" i="10"/>
  <c r="C27" i="10"/>
  <c r="C28" i="10"/>
  <c r="C29" i="10"/>
  <c r="C30" i="10"/>
  <c r="C31" i="10"/>
  <c r="C32" i="10"/>
  <c r="C33" i="10"/>
  <c r="C34" i="10"/>
  <c r="C23" i="10"/>
  <c r="B44" i="9" l="1"/>
  <c r="C47" i="9"/>
  <c r="B47" i="9"/>
  <c r="A48" i="9"/>
  <c r="A49" i="9" s="1"/>
  <c r="A50" i="9" s="1"/>
  <c r="A51" i="9" s="1"/>
  <c r="A52" i="9" s="1"/>
  <c r="A53" i="9" s="1"/>
  <c r="A54" i="9" s="1"/>
  <c r="A55" i="9" s="1"/>
  <c r="A56" i="9" s="1"/>
  <c r="A57" i="9" s="1"/>
  <c r="A58" i="9" s="1"/>
  <c r="A59" i="9" s="1"/>
  <c r="A60" i="9" s="1"/>
  <c r="A61" i="9" s="1"/>
  <c r="A62" i="9" s="1"/>
  <c r="A63" i="9" s="1"/>
  <c r="A64" i="9" s="1"/>
  <c r="A65" i="9" s="1"/>
  <c r="A66" i="9" s="1"/>
  <c r="A67" i="9" s="1"/>
  <c r="B67" i="9" s="1"/>
  <c r="C24" i="8"/>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C44" i="9" l="1"/>
  <c r="D44" i="9" s="1"/>
  <c r="D47" i="9"/>
  <c r="C66" i="9"/>
  <c r="B57" i="9"/>
  <c r="C56" i="9"/>
  <c r="B56" i="9"/>
  <c r="C65" i="9"/>
  <c r="C55" i="9"/>
  <c r="B55" i="9"/>
  <c r="C64" i="9"/>
  <c r="C54" i="9"/>
  <c r="C50" i="9"/>
  <c r="B64" i="9"/>
  <c r="B50" i="9"/>
  <c r="C59" i="9"/>
  <c r="C49" i="9"/>
  <c r="B54" i="9"/>
  <c r="C63" i="9"/>
  <c r="C53" i="9"/>
  <c r="C52" i="9"/>
  <c r="B52" i="9"/>
  <c r="B65" i="9"/>
  <c r="B51" i="9"/>
  <c r="B63" i="9"/>
  <c r="C58" i="9"/>
  <c r="C48" i="9"/>
  <c r="B53" i="9"/>
  <c r="C62" i="9"/>
  <c r="B66" i="9"/>
  <c r="D66" i="9" s="1"/>
  <c r="C61" i="9"/>
  <c r="C51" i="9"/>
  <c r="C60" i="9"/>
  <c r="B62" i="9"/>
  <c r="C67" i="9"/>
  <c r="D67" i="9" s="1"/>
  <c r="C57" i="9"/>
  <c r="B61" i="9"/>
  <c r="B60" i="9"/>
  <c r="B59" i="9"/>
  <c r="B49" i="9"/>
  <c r="B58" i="9"/>
  <c r="B48" i="9"/>
  <c r="B28" i="7"/>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D53" i="9" l="1"/>
  <c r="D54" i="9"/>
  <c r="D57" i="9"/>
  <c r="D60" i="9"/>
  <c r="D65" i="9"/>
  <c r="D58" i="9"/>
  <c r="D59" i="9"/>
  <c r="D56" i="9"/>
  <c r="D55" i="9"/>
  <c r="D48" i="9"/>
  <c r="D49" i="9"/>
  <c r="D50" i="9"/>
  <c r="D64" i="9"/>
  <c r="D62" i="9"/>
  <c r="D63" i="9"/>
  <c r="D51" i="9"/>
  <c r="D61" i="9"/>
  <c r="D52" i="9"/>
  <c r="J9" i="7"/>
  <c r="J7" i="7"/>
  <c r="J8" i="7"/>
  <c r="J5" i="7"/>
  <c r="J12" i="7"/>
  <c r="J4" i="7"/>
  <c r="J13" i="7"/>
  <c r="J3" i="7"/>
  <c r="J2" i="7"/>
  <c r="J11" i="7"/>
  <c r="J10" i="7"/>
  <c r="J6" i="7"/>
  <c r="C61" i="5"/>
  <c r="C60" i="5"/>
  <c r="C59" i="5"/>
  <c r="C58" i="5"/>
  <c r="C57" i="5"/>
  <c r="C56" i="5"/>
  <c r="D3" i="4"/>
  <c r="D4" i="4"/>
  <c r="D5" i="4"/>
  <c r="D6" i="4"/>
  <c r="D7" i="4"/>
  <c r="D8" i="4"/>
  <c r="D9" i="4"/>
  <c r="D2" i="4"/>
  <c r="D13" i="2" a="1"/>
  <c r="D13" i="2" s="1"/>
  <c r="C13" i="2" a="1"/>
  <c r="C1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<sst xmlns="http://schemas.openxmlformats.org/spreadsheetml/2006/main" count="591" uniqueCount="417">
  <si>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</si>
  <si>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</si>
  <si>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</si>
  <si>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</si>
  <si>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</si>
  <si>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</si>
  <si>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</si>
  <si>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</si>
  <si>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</si>
  <si>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</si>
  <si>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</si>
  <si>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</si>
  <si>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</si>
  <si>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</si>
  <si>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</si>
  <si>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</si>
  <si>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</si>
  <si>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</si>
  <si>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</si>
  <si>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</si>
  <si>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</si>
  <si>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</si>
  <si>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</si>
  <si>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</si>
  <si>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</si>
  <si>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</si>
  <si>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</si>
  <si>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</si>
  <si>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</si>
  <si>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</si>
  <si>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</si>
  <si>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</si>
  <si>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</si>
  <si>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</si>
  <si>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</si>
  <si>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</si>
  <si>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</si>
  <si>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</si>
  <si>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</si>
  <si>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</si>
  <si>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</si>
  <si>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</si>
  <si>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</si>
  <si>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</si>
  <si>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</si>
  <si>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</si>
  <si>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</si>
  <si>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</si>
  <si>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</si>
  <si>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</si>
  <si>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</si>
  <si>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</si>
  <si>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</si>
  <si>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</si>
  <si>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</si>
  <si>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</si>
  <si>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</si>
  <si>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</si>
  <si>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</si>
  <si>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</si>
  <si>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</si>
  <si>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</si>
  <si>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</si>
  <si>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</si>
  <si>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</si>
  <si>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</si>
  <si>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</si>
  <si>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</si>
  <si>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</si>
  <si>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</si>
  <si>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</si>
  <si>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</si>
  <si>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</si>
  <si>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</si>
  <si>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</si>
  <si>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</si>
  <si>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</si>
  <si>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</si>
  <si>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</si>
  <si>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</si>
  <si>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</si>
  <si>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</si>
  <si>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</si>
  <si>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</si>
  <si>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</si>
  <si>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</si>
  <si>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</si>
  <si>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</si>
  <si>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</si>
  <si>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</si>
  <si>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</si>
  <si>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</si>
  <si>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</si>
  <si>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</si>
  <si>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</si>
  <si>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</si>
  <si>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</si>
  <si>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</si>
  <si>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</si>
  <si>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</si>
  <si>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</si>
  <si>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</si>
  <si>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</si>
  <si>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</si>
  <si>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</si>
  <si>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</si>
  <si>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</si>
  <si>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</si>
  <si>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</si>
  <si>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</si>
  <si>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</si>
  <si>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</si>
  <si>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</si>
  <si>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</si>
  <si>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</si>
  <si>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</si>
  <si>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</si>
  <si>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</si>
  <si>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</si>
  <si>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</si>
  <si>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</si>
  <si>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</si>
  <si>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</si>
  <si>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</si>
  <si>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</si>
  <si>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</si>
  <si>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</si>
  <si>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</si>
  <si>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</si>
  <si>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</si>
  <si>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</si>
  <si>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</si>
  <si>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</si>
  <si>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</si>
  <si>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</si>
  <si>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</si>
  <si>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</si>
  <si>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</si>
  <si>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</si>
  <si>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</si>
  <si>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</si>
  <si>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</si>
  <si>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</si>
  <si>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</si>
  <si>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</si>
  <si>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</si>
  <si>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</si>
  <si>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</si>
  <si>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</si>
  <si>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</si>
  <si>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</si>
  <si>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</si>
  <si>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</si>
  <si>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</si>
  <si>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</si>
  <si>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</si>
  <si>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</si>
  <si>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</si>
  <si>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</si>
  <si>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</si>
  <si>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</si>
  <si>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</si>
  <si>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</si>
  <si>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</si>
  <si>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</si>
  <si>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</si>
  <si>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</si>
  <si>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</si>
  <si>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</si>
  <si>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</si>
  <si>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</si>
  <si>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</si>
  <si>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</si>
  <si>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</si>
  <si>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</si>
  <si>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</si>
  <si>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</si>
  <si>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</si>
  <si>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</si>
  <si>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</si>
  <si>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</si>
  <si>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</si>
  <si>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</si>
  <si>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</si>
  <si>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</si>
  <si>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</si>
  <si>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</si>
  <si>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</si>
  <si>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</si>
  <si>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</si>
  <si>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</si>
  <si>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</si>
  <si>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</si>
  <si>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</si>
  <si>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</si>
  <si>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</si>
  <si>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</si>
  <si>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</si>
  <si>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</si>
  <si>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</si>
  <si>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</si>
  <si>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</si>
  <si>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</si>
  <si>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</si>
  <si>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</si>
  <si>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</si>
  <si>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</si>
  <si>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</si>
  <si>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</si>
  <si>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</si>
  <si>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</si>
  <si>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</si>
  <si>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</si>
  <si>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</si>
  <si>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</si>
  <si>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</si>
  <si>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</si>
  <si>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</si>
  <si>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</si>
  <si>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</si>
  <si>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</si>
  <si>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</si>
  <si>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</si>
  <si>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</si>
  <si>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</si>
  <si>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</si>
  <si>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</si>
  <si>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</si>
  <si>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</si>
  <si>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</si>
  <si>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</si>
  <si>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</si>
  <si>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</si>
  <si>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</si>
  <si>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</si>
  <si>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</si>
  <si>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</si>
  <si>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</si>
  <si>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</si>
  <si>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</si>
  <si>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</si>
  <si>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</si>
  <si>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</si>
  <si>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</si>
  <si>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</si>
  <si>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</si>
  <si>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</si>
  <si>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</si>
  <si>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</si>
  <si>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</si>
  <si>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</si>
  <si>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</si>
  <si>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</si>
  <si>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</si>
  <si>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</si>
  <si>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</si>
  <si>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</si>
  <si>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</si>
  <si>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</si>
  <si>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</si>
  <si>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</si>
  <si>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</si>
  <si>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</si>
  <si>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</si>
  <si>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</si>
  <si>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</si>
  <si>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</si>
  <si>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</si>
  <si>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</si>
  <si>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</si>
  <si>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</si>
  <si>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</si>
  <si>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</si>
  <si>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</si>
  <si>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</si>
  <si>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</si>
  <si>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</si>
  <si>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</si>
  <si>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</si>
  <si>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</si>
  <si>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</si>
  <si>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</si>
  <si>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</si>
  <si>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</si>
  <si>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</si>
  <si>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</si>
  <si>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</si>
  <si>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</si>
  <si>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</si>
  <si>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</si>
  <si>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</si>
  <si>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</si>
  <si>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</si>
  <si>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</si>
  <si>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</si>
  <si>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</si>
  <si>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</si>
  <si>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</si>
  <si>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</si>
  <si>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</si>
  <si>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</si>
  <si>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</si>
  <si>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</si>
  <si>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</si>
  <si>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</si>
  <si>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</si>
  <si>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</si>
  <si>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</si>
  <si>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</si>
  <si>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</si>
  <si>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</si>
  <si>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</si>
  <si>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</si>
  <si>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</si>
  <si>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</si>
  <si>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</si>
  <si>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</si>
  <si>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</si>
  <si>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</si>
  <si>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</si>
  <si>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</si>
  <si>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</si>
  <si>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</si>
  <si>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</si>
  <si>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</si>
  <si>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</si>
  <si>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</si>
  <si>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</si>
  <si>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</si>
  <si>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</si>
  <si>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</si>
  <si>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</si>
  <si>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</si>
  <si>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</si>
  <si>
    <t>a.折线图与散点图根本区别 折线图横轴上是文本分类不是数值型分类 所以折线图没有横向的误差线</t>
    <phoneticPr fontId="1" type="noConversion"/>
  </si>
  <si>
    <t>事件</t>
    <phoneticPr fontId="1" type="noConversion"/>
  </si>
  <si>
    <t>1. 误差线大事件</t>
    <phoneticPr fontId="1" type="noConversion"/>
  </si>
  <si>
    <t>a.插入散点图-添加误差线元素-标准误差线-删除横向误差线</t>
    <phoneticPr fontId="1" type="noConversion"/>
  </si>
  <si>
    <t>b.选中误差线-设置误差线格式-方向选中负偏差-不等长误差值自定义</t>
    <phoneticPr fontId="1" type="noConversion"/>
  </si>
  <si>
    <t>c.负错误值=高度-插入形状图-选中点位复制粘贴-添加数据标签</t>
    <phoneticPr fontId="1" type="noConversion"/>
  </si>
  <si>
    <t>产能</t>
    <phoneticPr fontId="1" type="noConversion"/>
  </si>
  <si>
    <t>采购价格</t>
    <phoneticPr fontId="1" type="noConversion"/>
  </si>
  <si>
    <t>销售价格</t>
    <phoneticPr fontId="1" type="noConversion"/>
  </si>
  <si>
    <t>constant</t>
    <phoneticPr fontId="1" type="noConversion"/>
  </si>
  <si>
    <t>variable</t>
    <phoneticPr fontId="1" type="noConversion"/>
  </si>
  <si>
    <t>虚拟是从多个变量中找到某一个变量且这个变量与其它变量相关</t>
    <phoneticPr fontId="1" type="noConversion"/>
  </si>
  <si>
    <t>在不同的产能下采购价格与销售价格对盈亏平衡点的影响</t>
    <phoneticPr fontId="1" type="noConversion"/>
  </si>
  <si>
    <t>盈亏平衡点 生产了30000件利润刚好能够覆盖成本 多1件赚钱 少1件亏钱</t>
    <phoneticPr fontId="1" type="noConversion"/>
  </si>
  <si>
    <t>a.插入滚动条-关联销售采购价格-价格波动范围40-70/70-100</t>
    <phoneticPr fontId="1" type="noConversion"/>
  </si>
  <si>
    <t>生产量</t>
    <phoneticPr fontId="1" type="noConversion"/>
  </si>
  <si>
    <t>成本</t>
    <phoneticPr fontId="1" type="noConversion"/>
  </si>
  <si>
    <t>销售额</t>
    <phoneticPr fontId="1" type="noConversion"/>
  </si>
  <si>
    <t>利润</t>
    <phoneticPr fontId="1" type="noConversion"/>
  </si>
  <si>
    <t>c.插入带线散点图-设置数据系列格式-标记无填充</t>
    <phoneticPr fontId="1" type="noConversion"/>
  </si>
  <si>
    <t>盈亏平衡点</t>
    <phoneticPr fontId="1" type="noConversion"/>
  </si>
  <si>
    <t>d.添加盈亏平衡点-根据销售额或成本算出图中点位置</t>
    <phoneticPr fontId="1" type="noConversion"/>
  </si>
  <si>
    <t>计划成本</t>
    <phoneticPr fontId="1" type="noConversion"/>
  </si>
  <si>
    <t>b.根据产能变量创建数据范围-成本需包含计划成本-销售额-利润</t>
    <phoneticPr fontId="1" type="noConversion"/>
  </si>
  <si>
    <t>e.选择数据源-添加数据系列-设置xy轴点位-添加数据标签x轴值</t>
    <phoneticPr fontId="1" type="noConversion"/>
  </si>
  <si>
    <t>f.添加最大利润点-选择数据源-添加数据系列-设置xy轴点位-取最大值</t>
    <phoneticPr fontId="1" type="noConversion"/>
  </si>
  <si>
    <t>销售</t>
    <phoneticPr fontId="1" type="noConversion"/>
  </si>
  <si>
    <t>1月</t>
    <phoneticPr fontId="22" type="noConversion"/>
  </si>
  <si>
    <t>月</t>
    <phoneticPr fontId="1" type="noConversion"/>
  </si>
  <si>
    <t>1. 结合折线与散点图</t>
    <phoneticPr fontId="1" type="noConversion"/>
  </si>
  <si>
    <t>a.折线图无法添加横轴误差线-散点横轴是数值轴无法更改文本</t>
    <phoneticPr fontId="1" type="noConversion"/>
  </si>
  <si>
    <t>b.插入折线图-隐藏实线-选择数据源-添加系列-更改图表类型散点图</t>
    <phoneticPr fontId="1" type="noConversion"/>
  </si>
  <si>
    <t>c.将散点图增加实线连接-添加误差线-负误差-自定义数据源</t>
    <phoneticPr fontId="1" type="noConversion"/>
  </si>
  <si>
    <t>2. 涨跌图</t>
    <phoneticPr fontId="1" type="noConversion"/>
  </si>
  <si>
    <t>销售(万)</t>
    <phoneticPr fontId="1" type="noConversion"/>
  </si>
  <si>
    <t>a.利用误差线的正负值来画线-插入散点图</t>
    <phoneticPr fontId="1" type="noConversion"/>
  </si>
  <si>
    <t>b.添加误差线-横向需要往左拉伸1点位-负偏差</t>
    <phoneticPr fontId="1" type="noConversion"/>
  </si>
  <si>
    <t>y</t>
    <phoneticPr fontId="1" type="noConversion"/>
  </si>
  <si>
    <t>c.添加辅助列y-垂直正偏差差值-负值会向下拉伸差值点位-自定义误差量</t>
    <phoneticPr fontId="1" type="noConversion"/>
  </si>
  <si>
    <t>d.切换横坐标数值为文本分类-选择数据源-添加数据系列空-更改图标类型-折线图</t>
    <phoneticPr fontId="1" type="noConversion"/>
  </si>
  <si>
    <t>e.将散点图切换为次坐标-折线图选择数据源-水平轴上选择月份数据</t>
    <phoneticPr fontId="1" type="noConversion"/>
  </si>
  <si>
    <t>3. 瀑布图</t>
    <phoneticPr fontId="1" type="noConversion"/>
  </si>
  <si>
    <t>a.两组误差线-涨跌按照正负值来区分</t>
    <phoneticPr fontId="1" type="noConversion"/>
  </si>
  <si>
    <t>正值</t>
    <phoneticPr fontId="1" type="noConversion"/>
  </si>
  <si>
    <t>负值</t>
    <phoneticPr fontId="1" type="noConversion"/>
  </si>
  <si>
    <t>f.解决双图表散点图0.5点位溢出问题-添加次要横坐标轴</t>
    <phoneticPr fontId="1" type="noConversion"/>
  </si>
  <si>
    <t>中心点位</t>
    <phoneticPr fontId="1" type="noConversion"/>
  </si>
  <si>
    <t>年份</t>
    <phoneticPr fontId="22" type="noConversion"/>
  </si>
  <si>
    <t>市场占有率</t>
    <phoneticPr fontId="22" type="noConversion"/>
  </si>
  <si>
    <t>2010年</t>
    <phoneticPr fontId="22" type="noConversion"/>
  </si>
  <si>
    <t>2012年</t>
  </si>
  <si>
    <t>2013年</t>
  </si>
  <si>
    <t>辅助列</t>
    <phoneticPr fontId="1" type="noConversion"/>
  </si>
  <si>
    <t>彩盒</t>
  </si>
  <si>
    <t>以下适用范围窄且扩展性较差</t>
    <phoneticPr fontId="1" type="noConversion"/>
  </si>
  <si>
    <t>C产品</t>
  </si>
  <si>
    <t>D产品</t>
  </si>
  <si>
    <t>E产品</t>
  </si>
  <si>
    <t>F产品</t>
  </si>
  <si>
    <t>G产品</t>
  </si>
  <si>
    <t>H产品</t>
  </si>
  <si>
    <t>员工</t>
    <phoneticPr fontId="22" type="noConversion"/>
  </si>
  <si>
    <t>A员工</t>
    <phoneticPr fontId="22" type="noConversion"/>
  </si>
  <si>
    <t>B员工</t>
    <phoneticPr fontId="22" type="noConversion"/>
  </si>
  <si>
    <t>完单数</t>
    <phoneticPr fontId="22" type="noConversion"/>
  </si>
  <si>
    <t>在线时长</t>
    <phoneticPr fontId="22" type="noConversion"/>
  </si>
  <si>
    <t>背单时长</t>
    <phoneticPr fontId="22" type="noConversion"/>
  </si>
  <si>
    <t>午高峰出勤</t>
    <phoneticPr fontId="22" type="noConversion"/>
  </si>
  <si>
    <t>晚高峰出勤</t>
    <phoneticPr fontId="22" type="noConversion"/>
  </si>
  <si>
    <t>所属区域</t>
    <phoneticPr fontId="22" type="noConversion"/>
  </si>
  <si>
    <t>产品类别</t>
    <phoneticPr fontId="22" type="noConversion"/>
  </si>
  <si>
    <t>求和项:金额</t>
    <phoneticPr fontId="22" type="noConversion"/>
  </si>
  <si>
    <t>常熟</t>
    <phoneticPr fontId="22" type="noConversion"/>
  </si>
  <si>
    <t>彩盒</t>
    <phoneticPr fontId="22" type="noConversion"/>
  </si>
  <si>
    <t>宠物用品</t>
    <phoneticPr fontId="22" type="noConversion"/>
  </si>
  <si>
    <t>服装</t>
    <phoneticPr fontId="22" type="noConversion"/>
  </si>
  <si>
    <t>警告标</t>
    <phoneticPr fontId="22" type="noConversion"/>
  </si>
  <si>
    <t>暖靴</t>
    <phoneticPr fontId="22" type="noConversion"/>
  </si>
  <si>
    <t>睡袋</t>
    <phoneticPr fontId="22" type="noConversion"/>
  </si>
  <si>
    <t>昆山</t>
    <phoneticPr fontId="22" type="noConversion"/>
  </si>
  <si>
    <t>南京</t>
    <phoneticPr fontId="22" type="noConversion"/>
  </si>
  <si>
    <t>苏州</t>
    <phoneticPr fontId="22" type="noConversion"/>
  </si>
  <si>
    <t>无锡</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</si>
</sst>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76" formatCode="yyyy/m/d;@"/>
    <numFmt numFmtId="177" formatCode="0.0%"/>
    <numFmt numFmtId="178" formatCode="\a"/>
    <numFmt numFmtId="179" formatCode="&quot;b&quot;"/>
    <numFmt numFmtId="180" formatCode="\c"/>
    <numFmt numFmtId="181" formatCode="&quot;D&quot;"/>
    <numFmt numFmtId="182" formatCode="\f"/>
    <numFmt numFmtId="183" formatCode="0.0_);[Red]\(0.0\)"/>
  </numFmts>
  <fonts count="25">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2"/>
      <name val="宋体"/>
      <family val="3"/>
      <charset val="134"/>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
      <sz val="9"/>
      <name val="宋体"/>
      <family val="3"/>
      <charset val="134"/>
      <scheme val="minor"/>
    </font>
    <font>
      <sz val="12"/>
      <color theme="0"/>
      <name val="宋体"/>
      <family val="3"/>
    </font>
    <font>
      <b/>
      <sz val="12"/>
      <color rgb="FFFFFFFF"/>
      <name val="宋体"/>
      <family val="3"/>
      <charset val="134"/>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indexed="44"/>
        <bgColor indexed="64"/>
      </patternFill>
    </fill>
    <fill>
      <patternFill patternType="solid">
        <fgColor rgb="FFFFFF00"/>
        <bgColor indexed="64"/>
      </patternFill>
    </fill>
    <fill>
      <patternFill patternType="solid">
        <fgColor rgb="FF4BACC6"/>
        <bgColor rgb="FF000000"/>
      </patternFill>
    </fill>
  </fills>
  <borders count="9">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5">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1" fillId="0" borderId="0" applyFont="0" applyFill="0" applyBorder="0" applyAlignment="0" applyProtection="0">
      <alignment vertical="center"/>
    </xf>
    <xf numFmtId="0" fontId="1" fillId="0" borderId="0">
      <alignment vertical="center"/>
    </xf>
  </cellStyleXfs>
  <cellXfs count="72">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2" fillId="0" borderId="0" xfId="0" applyFont="1" applyProtection="1">
      <protection locked="0"/>
    </xf>
    <xf numFmtId="0" fontId="13"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9" fontId="0" fillId="0" borderId="0" xfId="0" applyNumberFormat="1"/>
    <xf numFmtId="0" fontId="14" fillId="2" borderId="3" xfId="0" applyFont="1" applyFill="1" applyBorder="1" applyAlignment="1">
      <alignment vertical="center"/>
    </xf>
    <xf numFmtId="0" fontId="15" fillId="0" borderId="3" xfId="0" applyFont="1" applyBorder="1" applyAlignment="1">
      <alignment vertical="center"/>
    </xf>
    <xf numFmtId="177" fontId="15" fillId="0" borderId="3" xfId="3" applyNumberFormat="1" applyFont="1" applyBorder="1">
      <alignment vertical="center"/>
    </xf>
    <xf numFmtId="0" fontId="16"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16" fillId="2" borderId="3" xfId="0" applyFont="1" applyFill="1" applyBorder="1" applyAlignment="1">
      <alignment horizontal="center" vertical="center"/>
    </xf>
    <xf numFmtId="14" fontId="17" fillId="0" borderId="3" xfId="0" applyNumberFormat="1" applyFont="1" applyBorder="1" applyAlignment="1">
      <alignment vertical="center"/>
    </xf>
    <xf numFmtId="0" fontId="17" fillId="0" borderId="3" xfId="0" applyFont="1" applyBorder="1" applyAlignment="1">
      <alignment vertical="center"/>
    </xf>
    <xf numFmtId="9" fontId="17" fillId="0" borderId="3" xfId="0" applyNumberFormat="1" applyFont="1" applyBorder="1" applyAlignment="1">
      <alignment vertical="center"/>
    </xf>
    <xf numFmtId="14" fontId="17" fillId="0" borderId="0" xfId="0" applyNumberFormat="1" applyFont="1" applyAlignment="1">
      <alignment vertical="center"/>
    </xf>
    <xf numFmtId="0" fontId="17" fillId="0" borderId="0" xfId="0" applyFont="1" applyAlignment="1">
      <alignment vertical="center"/>
    </xf>
    <xf numFmtId="14" fontId="18" fillId="0" borderId="0" xfId="0" applyNumberFormat="1" applyFont="1" applyAlignment="1">
      <alignment vertical="center"/>
    </xf>
    <xf numFmtId="183" fontId="0" fillId="0" borderId="3" xfId="0" applyNumberFormat="1" applyBorder="1" applyAlignment="1">
      <alignment vertical="center"/>
    </xf>
    <xf numFmtId="0" fontId="0" fillId="0" borderId="3" xfId="0" applyBorder="1"/>
    <xf numFmtId="0" fontId="13" fillId="0" borderId="0" xfId="0" applyFont="1"/>
    <xf numFmtId="10" fontId="0" fillId="0" borderId="0" xfId="0" applyNumberFormat="1"/>
    <xf numFmtId="0" fontId="17" fillId="0" borderId="7" xfId="0" applyFont="1" applyBorder="1" applyAlignment="1">
      <alignment horizontal="center" vertical="center"/>
    </xf>
    <xf numFmtId="14" fontId="17" fillId="0" borderId="7" xfId="0" applyNumberFormat="1" applyFont="1" applyBorder="1" applyAlignment="1">
      <alignment horizontal="center" vertical="center"/>
    </xf>
    <xf numFmtId="0" fontId="21" fillId="3" borderId="7" xfId="0" applyFont="1" applyFill="1" applyBorder="1" applyAlignment="1">
      <alignment horizontal="center" vertical="center"/>
    </xf>
    <xf numFmtId="0" fontId="6" fillId="0" borderId="7" xfId="0" applyFont="1" applyBorder="1" applyAlignment="1">
      <alignment vertical="center"/>
    </xf>
    <xf numFmtId="177" fontId="6" fillId="0" borderId="7" xfId="3" applyNumberFormat="1" applyFont="1" applyBorder="1">
      <alignment vertical="center"/>
    </xf>
    <xf numFmtId="0" fontId="6" fillId="4" borderId="0" xfId="4" applyFont="1" applyFill="1" applyAlignment="1">
      <alignment horizontal="center" vertical="center"/>
    </xf>
    <xf numFmtId="0" fontId="6" fillId="0" borderId="0" xfId="4" applyFont="1">
      <alignment vertical="center"/>
    </xf>
    <xf numFmtId="0" fontId="16" fillId="2" borderId="8" xfId="0" applyFont="1" applyFill="1" applyBorder="1" applyAlignment="1">
      <alignment horizontal="center" vertical="center"/>
    </xf>
    <xf numFmtId="0" fontId="17" fillId="0" borderId="3" xfId="0" applyFont="1" applyBorder="1"/>
    <xf numFmtId="10" fontId="17" fillId="0" borderId="3" xfId="3" applyNumberFormat="1" applyFont="1" applyBorder="1" applyAlignment="1"/>
    <xf numFmtId="0" fontId="17" fillId="0" borderId="0" xfId="0" applyFont="1"/>
    <xf numFmtId="10" fontId="17" fillId="0" borderId="0" xfId="0" applyNumberFormat="1" applyFont="1"/>
    <xf numFmtId="0" fontId="6" fillId="5" borderId="0" xfId="0" applyFont="1" applyFill="1"/>
    <xf numFmtId="1" fontId="0" fillId="0" borderId="0" xfId="0" applyNumberFormat="1"/>
    <xf numFmtId="0" fontId="16" fillId="2" borderId="3" xfId="0" applyFont="1" applyFill="1" applyBorder="1" applyAlignment="1">
      <alignment horizontal="left" vertical="center"/>
    </xf>
    <xf numFmtId="0" fontId="23" fillId="2" borderId="3" xfId="0" applyFont="1" applyFill="1" applyBorder="1" applyAlignment="1">
      <alignment horizontal="left" vertical="center"/>
    </xf>
    <xf numFmtId="0" fontId="21" fillId="2" borderId="3" xfId="0" applyFont="1" applyFill="1" applyBorder="1" applyAlignment="1">
      <alignment horizontal="left" vertical="center"/>
    </xf>
    <xf numFmtId="0" fontId="24" fillId="6" borderId="0" xfId="0" applyFont="1" applyFill="1" applyAlignment="1">
      <alignment horizontal="center" vertical="center"/>
    </xf>
    <xf numFmtId="178" fontId="6" fillId="0" borderId="0" xfId="0" applyNumberFormat="1" applyFont="1" applyAlignment="1">
      <alignment horizontal="center" vertical="center"/>
    </xf>
    <xf numFmtId="43" fontId="6" fillId="0" borderId="0" xfId="0" applyNumberFormat="1" applyFont="1" applyAlignment="1">
      <alignment vertical="center"/>
    </xf>
    <xf numFmtId="10" fontId="6" fillId="0" borderId="0" xfId="0" applyNumberFormat="1" applyFont="1" applyAlignment="1">
      <alignment vertical="center"/>
    </xf>
    <xf numFmtId="179" fontId="6" fillId="0" borderId="0" xfId="0" applyNumberFormat="1" applyFont="1" applyAlignment="1">
      <alignment horizontal="center" vertical="center"/>
    </xf>
    <xf numFmtId="180" fontId="6" fillId="0" borderId="0" xfId="0" applyNumberFormat="1" applyFont="1" applyAlignment="1">
      <alignment horizontal="center" vertical="center"/>
    </xf>
    <xf numFmtId="181" fontId="6" fillId="0" borderId="0" xfId="0" applyNumberFormat="1" applyFont="1" applyAlignment="1">
      <alignment horizontal="center" vertical="center"/>
    </xf>
    <xf numFmtId="0" fontId="6" fillId="0" borderId="0" xfId="0" applyFont="1" applyAlignment="1">
      <alignment horizontal="center" vertical="center"/>
    </xf>
    <xf numFmtId="182" fontId="6" fillId="0" borderId="0" xfId="0" applyNumberFormat="1" applyFont="1" applyAlignment="1">
      <alignment horizontal="center" vertical="center"/>
    </xf>
  </cellXfs>
  <cellStyles count="5">
    <cellStyle name="百分比" xfId="3" builtinId="5"/>
    <cellStyle name="常规" xfId="0" builtinId="0"/>
    <cellStyle name="常规 2" xfId="1" xr:uid="{00000000-0005-0000-0000-000002000000}"/>
    <cellStyle name="常规 3" xfId="4" xr:uid="{CB546887-15AC-7349-B923-06C884EA2531}"/>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emf"/></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23.xml"/><Relationship Id="rId1" Type="http://schemas.microsoft.com/office/2011/relationships/chartStyle" Target="style23.xml"/><Relationship Id="rId5" Type="http://schemas.openxmlformats.org/officeDocument/2006/relationships/chartUserShapes" Target="../drawings/drawing8.xml"/><Relationship Id="rId4" Type="http://schemas.openxmlformats.org/officeDocument/2006/relationships/image" Target="../media/image3.svg"/></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2007/04/17</c:v>
                </c:pt>
                <c:pt idx="1">
                  <c:v> 2007/04/18</c:v>
                </c:pt>
                <c:pt idx="2">
                  <c:v> 2007/04/19</c:v>
                </c:pt>
                <c:pt idx="3">
                  <c:v> 2007/04/20</c:v>
                </c:pt>
                <c:pt idx="4">
                  <c:v> 2007/04/23</c:v>
                </c:pt>
                <c:pt idx="5">
                  <c:v> 2007/04/24</c:v>
                </c:pt>
                <c:pt idx="6">
                  <c:v> 2007/04/25</c:v>
                </c:pt>
                <c:pt idx="7">
                  <c:v> 2007/04/26</c:v>
                </c:pt>
                <c:pt idx="8">
                  <c:v> 2007/04/27</c:v>
                </c:pt>
                <c:pt idx="9">
                  <c:v> 2007/04/30</c:v>
                </c:pt>
              </c:strCache>
            </c:strRef>
          </c:cat>
          <c:val>
            <c:numRef>
              <c:f>控制法!$E$46:$E$55</c:f>
              <c:numCache>
                <c:formatCode>General</c:formatCode>
                <c:ptCount val="10"/>
                <c:pt idx="0">
                  <c:v>17107981</c:v>
                </c:pt>
                <c:pt idx="1">
                  <c:v>24383468</c:v>
                </c:pt>
                <c:pt idx="2">
                  <c:v>26114851</c:v>
                </c:pt>
                <c:pt idx="3">
                  <c:v>21106449</c:v>
                </c:pt>
                <c:pt idx="4">
                  <c:v>30839757</c:v>
                </c:pt>
                <c:pt idx="5">
                  <c:v>20434018</c:v>
                </c:pt>
                <c:pt idx="6">
                  <c:v>27323654</c:v>
                </c:pt>
                <c:pt idx="7">
                  <c:v>23952562</c:v>
                </c:pt>
                <c:pt idx="8">
                  <c:v>36034578</c:v>
                </c:pt>
                <c:pt idx="9">
                  <c:v>38233396</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42</c:v>
                </c:pt>
                <c:pt idx="1">
                  <c:v>91</c:v>
                </c:pt>
                <c:pt idx="2">
                  <c:v>44</c:v>
                </c:pt>
                <c:pt idx="3">
                  <c:v>17</c:v>
                </c:pt>
                <c:pt idx="4">
                  <c:v>97</c:v>
                </c:pt>
                <c:pt idx="5">
                  <c:v>9</c:v>
                </c:pt>
                <c:pt idx="6">
                  <c:v>27</c:v>
                </c:pt>
                <c:pt idx="7">
                  <c:v>22</c:v>
                </c:pt>
                <c:pt idx="8">
                  <c:v>37</c:v>
                </c:pt>
                <c:pt idx="9">
                  <c:v>32</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虚拟法!$B$2</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A5A8-AB44-82B9-5D78301D0A1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虚拟法!$B$1</c:f>
              <c:strCache>
                <c:ptCount val="1"/>
                <c:pt idx="0">
                  <c:v>高度</c:v>
                </c:pt>
              </c:strCache>
            </c:strRef>
          </c:tx>
          <c:spPr>
            <a:ln w="28575" cap="rnd">
              <a:noFill/>
              <a:round/>
            </a:ln>
            <a:effectLst/>
          </c:spPr>
          <c:marker>
            <c:symbol val="picture"/>
            <c:spPr>
              <a:blipFill>
                <a:blip xmlns:r="http://schemas.openxmlformats.org/officeDocument/2006/relationships" r:embed="rId1"/>
                <a:stretch>
                  <a:fillRect/>
                </a:stretch>
              </a:blipFill>
              <a:ln w="25400">
                <a:noFill/>
              </a:ln>
              <a:effectLst/>
            </c:spPr>
          </c:marker>
          <c:dLbls>
            <c:dLbl>
              <c:idx val="0"/>
              <c:tx>
                <c:rich>
                  <a:bodyPr/>
                  <a:lstStyle/>
                  <a:p>
                    <a:fld id="{C78309F7-2302-8141-8794-9ABF39E61BF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CF7-B544-8407-A1E01FB93D7C}"/>
                </c:ext>
              </c:extLst>
            </c:dLbl>
            <c:dLbl>
              <c:idx val="1"/>
              <c:tx>
                <c:rich>
                  <a:bodyPr/>
                  <a:lstStyle/>
                  <a:p>
                    <a:fld id="{42A8DD0A-B7E7-BC47-BAFD-9CA629F9FBD3}"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CF7-B544-8407-A1E01FB93D7C}"/>
                </c:ext>
              </c:extLst>
            </c:dLbl>
            <c:dLbl>
              <c:idx val="2"/>
              <c:tx>
                <c:rich>
                  <a:bodyPr/>
                  <a:lstStyle/>
                  <a:p>
                    <a:fld id="{DEB90D66-1FD6-8F4F-8B1D-7613B852C443}"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CF7-B544-8407-A1E01FB93D7C}"/>
                </c:ext>
              </c:extLst>
            </c:dLbl>
            <c:dLbl>
              <c:idx val="3"/>
              <c:tx>
                <c:rich>
                  <a:bodyPr/>
                  <a:lstStyle/>
                  <a:p>
                    <a:fld id="{8EF2C154-4370-344F-A161-7AA7E69B946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CF7-B544-8407-A1E01FB93D7C}"/>
                </c:ext>
              </c:extLst>
            </c:dLbl>
            <c:dLbl>
              <c:idx val="4"/>
              <c:tx>
                <c:rich>
                  <a:bodyPr/>
                  <a:lstStyle/>
                  <a:p>
                    <a:fld id="{B125B21D-8C66-2945-AF55-95103F03CF8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CF7-B544-8407-A1E01FB93D7C}"/>
                </c:ext>
              </c:extLst>
            </c:dLbl>
            <c:dLbl>
              <c:idx val="5"/>
              <c:tx>
                <c:rich>
                  <a:bodyPr/>
                  <a:lstStyle/>
                  <a:p>
                    <a:fld id="{C57107C2-342B-3348-A4D9-E55AD9AC36D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CF7-B544-8407-A1E01FB93D7C}"/>
                </c:ext>
              </c:extLst>
            </c:dLbl>
            <c:dLbl>
              <c:idx val="6"/>
              <c:tx>
                <c:rich>
                  <a:bodyPr/>
                  <a:lstStyle/>
                  <a:p>
                    <a:fld id="{CB966DC6-A8A7-8940-8889-1A1D30DB468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CF7-B544-8407-A1E01FB93D7C}"/>
                </c:ext>
              </c:extLst>
            </c:dLbl>
            <c:dLbl>
              <c:idx val="7"/>
              <c:tx>
                <c:rich>
                  <a:bodyPr/>
                  <a:lstStyle/>
                  <a:p>
                    <a:fld id="{BFDD64C1-8BA9-7B44-A147-03E8ED0851C1}"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CF7-B544-8407-A1E01FB93D7C}"/>
                </c:ext>
              </c:extLst>
            </c:dLbl>
            <c:dLbl>
              <c:idx val="8"/>
              <c:tx>
                <c:rich>
                  <a:bodyPr/>
                  <a:lstStyle/>
                  <a:p>
                    <a:fld id="{D54BAA2C-DCDF-DD4F-83BD-B4115C500CE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CF7-B544-8407-A1E01FB93D7C}"/>
                </c:ext>
              </c:extLst>
            </c:dLbl>
            <c:dLbl>
              <c:idx val="9"/>
              <c:tx>
                <c:rich>
                  <a:bodyPr/>
                  <a:lstStyle/>
                  <a:p>
                    <a:fld id="{5381A31A-38B3-7D44-9E11-C02E590C93E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CF7-B544-8407-A1E01FB93D7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0"/>
            <c:plus>
              <c:numLit>
                <c:formatCode>General</c:formatCode>
                <c:ptCount val="1"/>
                <c:pt idx="0">
                  <c:v>1</c:v>
                </c:pt>
              </c:numLit>
            </c:plus>
            <c:minus>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minus>
            <c:spPr>
              <a:noFill/>
              <a:ln w="9525" cap="flat" cmpd="sng" algn="ctr">
                <a:gradFill>
                  <a:gsLst>
                    <a:gs pos="0">
                      <a:schemeClr val="tx2"/>
                    </a:gs>
                    <a:gs pos="100000">
                      <a:schemeClr val="accent1">
                        <a:lumMod val="30000"/>
                        <a:lumOff val="70000"/>
                      </a:schemeClr>
                    </a:gs>
                  </a:gsLst>
                  <a:lin ang="5400000" scaled="1"/>
                </a:gradFill>
                <a:round/>
              </a:ln>
              <a:effectLst/>
            </c:spPr>
          </c:errBars>
          <c:xVal>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xVal>
          <c:y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yVal>
          <c:smooth val="0"/>
          <c:extLst>
            <c:ext xmlns:c15="http://schemas.microsoft.com/office/drawing/2012/chart" uri="{02D57815-91ED-43cb-92C2-25804820EDAC}">
              <c15:datalabelsRange>
                <c15:f>虚拟法!$A$2:$A$11</c15:f>
                <c15:dlblRange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15:dlblRangeCache>
              </c15:datalabelsRange>
            </c:ext>
            <c:ext xmlns:c16="http://schemas.microsoft.com/office/drawing/2014/chart" uri="{C3380CC4-5D6E-409C-BE32-E72D297353CC}">
              <c16:uniqueId val="{00000000-8CF7-B544-8407-A1E01FB93D7C}"/>
            </c:ext>
          </c:extLst>
        </c:ser>
        <c:dLbls>
          <c:showLegendKey val="0"/>
          <c:showVal val="0"/>
          <c:showCatName val="0"/>
          <c:showSerName val="0"/>
          <c:showPercent val="0"/>
          <c:showBubbleSize val="0"/>
        </c:dLbls>
        <c:axId val="1961941568"/>
        <c:axId val="1962914944"/>
      </c:scatterChart>
      <c:valAx>
        <c:axId val="1961941568"/>
        <c:scaling>
          <c:orientation val="minMax"/>
        </c:scaling>
        <c:delete val="1"/>
        <c:axPos val="b"/>
        <c:majorTickMark val="none"/>
        <c:minorTickMark val="none"/>
        <c:tickLblPos val="nextTo"/>
        <c:crossAx val="1962914944"/>
        <c:crosses val="autoZero"/>
        <c:crossBetween val="midCat"/>
      </c:valAx>
      <c:valAx>
        <c:axId val="1962914944"/>
        <c:scaling>
          <c:orientation val="minMax"/>
        </c:scaling>
        <c:delete val="1"/>
        <c:axPos val="l"/>
        <c:numFmt formatCode="General" sourceLinked="1"/>
        <c:majorTickMark val="none"/>
        <c:minorTickMark val="none"/>
        <c:tickLblPos val="nextTo"/>
        <c:crossAx val="1961941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虚拟法!$B$46</c:f>
              <c:strCache>
                <c:ptCount val="1"/>
                <c:pt idx="0">
                  <c:v>成本</c:v>
                </c:pt>
              </c:strCache>
            </c:strRef>
          </c:tx>
          <c:spPr>
            <a:ln w="19050" cap="rnd">
              <a:solidFill>
                <a:schemeClr val="accent1"/>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虚拟法!$B$47:$B$67</c:f>
              <c:numCache>
                <c:formatCode>General</c:formatCode>
                <c:ptCount val="21"/>
                <c:pt idx="0">
                  <c:v>1000000</c:v>
                </c:pt>
                <c:pt idx="1">
                  <c:v>1130000</c:v>
                </c:pt>
                <c:pt idx="2">
                  <c:v>1260000</c:v>
                </c:pt>
                <c:pt idx="3">
                  <c:v>1390000</c:v>
                </c:pt>
                <c:pt idx="4">
                  <c:v>1520000</c:v>
                </c:pt>
                <c:pt idx="5">
                  <c:v>1650000</c:v>
                </c:pt>
                <c:pt idx="6">
                  <c:v>1780000</c:v>
                </c:pt>
                <c:pt idx="7">
                  <c:v>1910000</c:v>
                </c:pt>
                <c:pt idx="8">
                  <c:v>2040000</c:v>
                </c:pt>
                <c:pt idx="9">
                  <c:v>2170000</c:v>
                </c:pt>
                <c:pt idx="10">
                  <c:v>2300000</c:v>
                </c:pt>
                <c:pt idx="11">
                  <c:v>2430000</c:v>
                </c:pt>
                <c:pt idx="12">
                  <c:v>2560000</c:v>
                </c:pt>
                <c:pt idx="13">
                  <c:v>2690000</c:v>
                </c:pt>
                <c:pt idx="14">
                  <c:v>2820000</c:v>
                </c:pt>
                <c:pt idx="15">
                  <c:v>2950000</c:v>
                </c:pt>
                <c:pt idx="16">
                  <c:v>3080000</c:v>
                </c:pt>
                <c:pt idx="17">
                  <c:v>3210000</c:v>
                </c:pt>
                <c:pt idx="18">
                  <c:v>3340000</c:v>
                </c:pt>
                <c:pt idx="19">
                  <c:v>3470000</c:v>
                </c:pt>
                <c:pt idx="20">
                  <c:v>3600000</c:v>
                </c:pt>
              </c:numCache>
            </c:numRef>
          </c:yVal>
          <c:smooth val="0"/>
          <c:extLst>
            <c:ext xmlns:c16="http://schemas.microsoft.com/office/drawing/2014/chart" uri="{C3380CC4-5D6E-409C-BE32-E72D297353CC}">
              <c16:uniqueId val="{00000000-88CD-A340-BC77-CA84598E4855}"/>
            </c:ext>
          </c:extLst>
        </c:ser>
        <c:ser>
          <c:idx val="1"/>
          <c:order val="1"/>
          <c:tx>
            <c:strRef>
              <c:f>虚拟法!$C$46</c:f>
              <c:strCache>
                <c:ptCount val="1"/>
                <c:pt idx="0">
                  <c:v>销售额</c:v>
                </c:pt>
              </c:strCache>
            </c:strRef>
          </c:tx>
          <c:spPr>
            <a:ln w="19050" cap="rnd">
              <a:solidFill>
                <a:schemeClr val="accent2"/>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虚拟法!$C$47:$C$67</c:f>
              <c:numCache>
                <c:formatCode>General</c:formatCode>
                <c:ptCount val="21"/>
                <c:pt idx="0">
                  <c:v>0</c:v>
                </c:pt>
                <c:pt idx="1">
                  <c:v>217500</c:v>
                </c:pt>
                <c:pt idx="2">
                  <c:v>435000</c:v>
                </c:pt>
                <c:pt idx="3">
                  <c:v>652500</c:v>
                </c:pt>
                <c:pt idx="4">
                  <c:v>870000</c:v>
                </c:pt>
                <c:pt idx="5">
                  <c:v>1087500</c:v>
                </c:pt>
                <c:pt idx="6">
                  <c:v>1305000</c:v>
                </c:pt>
                <c:pt idx="7">
                  <c:v>1522500</c:v>
                </c:pt>
                <c:pt idx="8">
                  <c:v>1740000</c:v>
                </c:pt>
                <c:pt idx="9">
                  <c:v>1957500</c:v>
                </c:pt>
                <c:pt idx="10">
                  <c:v>2175000</c:v>
                </c:pt>
                <c:pt idx="11">
                  <c:v>2392500</c:v>
                </c:pt>
                <c:pt idx="12">
                  <c:v>2610000</c:v>
                </c:pt>
                <c:pt idx="13">
                  <c:v>2827500</c:v>
                </c:pt>
                <c:pt idx="14">
                  <c:v>3045000</c:v>
                </c:pt>
                <c:pt idx="15">
                  <c:v>3262500</c:v>
                </c:pt>
                <c:pt idx="16">
                  <c:v>3480000</c:v>
                </c:pt>
                <c:pt idx="17">
                  <c:v>3697500</c:v>
                </c:pt>
                <c:pt idx="18">
                  <c:v>3915000</c:v>
                </c:pt>
                <c:pt idx="19">
                  <c:v>4132500</c:v>
                </c:pt>
                <c:pt idx="20">
                  <c:v>4350000</c:v>
                </c:pt>
              </c:numCache>
            </c:numRef>
          </c:yVal>
          <c:smooth val="0"/>
          <c:extLst>
            <c:ext xmlns:c16="http://schemas.microsoft.com/office/drawing/2014/chart" uri="{C3380CC4-5D6E-409C-BE32-E72D297353CC}">
              <c16:uniqueId val="{00000001-88CD-A340-BC77-CA84598E4855}"/>
            </c:ext>
          </c:extLst>
        </c:ser>
        <c:ser>
          <c:idx val="2"/>
          <c:order val="2"/>
          <c:tx>
            <c:strRef>
              <c:f>虚拟法!$D$46</c:f>
              <c:strCache>
                <c:ptCount val="1"/>
                <c:pt idx="0">
                  <c:v>利润</c:v>
                </c:pt>
              </c:strCache>
            </c:strRef>
          </c:tx>
          <c:spPr>
            <a:ln w="19050" cap="rnd">
              <a:solidFill>
                <a:schemeClr val="accent3"/>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虚拟法!$D$47:$D$67</c:f>
              <c:numCache>
                <c:formatCode>General</c:formatCode>
                <c:ptCount val="21"/>
                <c:pt idx="0">
                  <c:v>-1000000</c:v>
                </c:pt>
                <c:pt idx="1">
                  <c:v>-912500</c:v>
                </c:pt>
                <c:pt idx="2">
                  <c:v>-825000</c:v>
                </c:pt>
                <c:pt idx="3">
                  <c:v>-737500</c:v>
                </c:pt>
                <c:pt idx="4">
                  <c:v>-650000</c:v>
                </c:pt>
                <c:pt idx="5">
                  <c:v>-562500</c:v>
                </c:pt>
                <c:pt idx="6">
                  <c:v>-475000</c:v>
                </c:pt>
                <c:pt idx="7">
                  <c:v>-387500</c:v>
                </c:pt>
                <c:pt idx="8">
                  <c:v>-300000</c:v>
                </c:pt>
                <c:pt idx="9">
                  <c:v>-212500</c:v>
                </c:pt>
                <c:pt idx="10">
                  <c:v>-125000</c:v>
                </c:pt>
                <c:pt idx="11">
                  <c:v>-37500</c:v>
                </c:pt>
                <c:pt idx="12">
                  <c:v>50000</c:v>
                </c:pt>
                <c:pt idx="13">
                  <c:v>137500</c:v>
                </c:pt>
                <c:pt idx="14">
                  <c:v>225000</c:v>
                </c:pt>
                <c:pt idx="15">
                  <c:v>312500</c:v>
                </c:pt>
                <c:pt idx="16">
                  <c:v>400000</c:v>
                </c:pt>
                <c:pt idx="17">
                  <c:v>487500</c:v>
                </c:pt>
                <c:pt idx="18">
                  <c:v>575000</c:v>
                </c:pt>
                <c:pt idx="19">
                  <c:v>662500</c:v>
                </c:pt>
                <c:pt idx="20">
                  <c:v>750000</c:v>
                </c:pt>
              </c:numCache>
            </c:numRef>
          </c:yVal>
          <c:smooth val="0"/>
          <c:extLst>
            <c:ext xmlns:c16="http://schemas.microsoft.com/office/drawing/2014/chart" uri="{C3380CC4-5D6E-409C-BE32-E72D297353CC}">
              <c16:uniqueId val="{00000002-88CD-A340-BC77-CA84598E4855}"/>
            </c:ext>
          </c:extLst>
        </c:ser>
        <c:ser>
          <c:idx val="3"/>
          <c:order val="3"/>
          <c:tx>
            <c:v>平衡点产量</c:v>
          </c:tx>
          <c:spPr>
            <a:ln w="19050" cap="rnd">
              <a:solidFill>
                <a:schemeClr val="accent4"/>
              </a:solidFill>
              <a:round/>
            </a:ln>
            <a:effectLst>
              <a:outerShdw blurRad="50800" dist="38100" dir="5400000" algn="t" rotWithShape="0">
                <a:prstClr val="black">
                  <a:alpha val="40000"/>
                </a:prstClr>
              </a:outerShdw>
            </a:effectLst>
          </c:spPr>
          <c:marker>
            <c:symbol val="circle"/>
            <c:size val="8"/>
            <c:spPr>
              <a:noFill/>
              <a:ln w="34925">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t"/>
            <c:showLegendKey val="0"/>
            <c:showVal val="0"/>
            <c:showCatName val="1"/>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0"/>
            <c:plus>
              <c:numRef>
                <c:f>虚拟法!$D$44</c:f>
                <c:numCache>
                  <c:formatCode>General</c:formatCode>
                  <c:ptCount val="1"/>
                  <c:pt idx="0">
                    <c:v>2514285.7142857141</c:v>
                  </c:pt>
                </c:numCache>
              </c:numRef>
            </c:plus>
            <c:minus>
              <c:numRef>
                <c:f>虚拟法!$C$44</c:f>
                <c:numCache>
                  <c:formatCode>General</c:formatCode>
                  <c:ptCount val="1"/>
                  <c:pt idx="0">
                    <c:v>2485714.2857142859</c:v>
                  </c:pt>
                </c:numCache>
              </c:numRef>
            </c:minus>
            <c:spPr>
              <a:noFill/>
              <a:ln w="9525" cap="flat" cmpd="sng" algn="ctr">
                <a:solidFill>
                  <a:schemeClr val="tx1">
                    <a:lumMod val="65000"/>
                    <a:lumOff val="35000"/>
                  </a:schemeClr>
                </a:solidFill>
                <a:round/>
              </a:ln>
              <a:effectLst/>
            </c:spPr>
          </c:errBars>
          <c:xVal>
            <c:numRef>
              <c:f>虚拟法!$B$44</c:f>
              <c:numCache>
                <c:formatCode>0</c:formatCode>
                <c:ptCount val="1"/>
                <c:pt idx="0">
                  <c:v>28571.428571428572</c:v>
                </c:pt>
              </c:numCache>
            </c:numRef>
          </c:xVal>
          <c:yVal>
            <c:numRef>
              <c:f>虚拟法!$C$44</c:f>
              <c:numCache>
                <c:formatCode>0</c:formatCode>
                <c:ptCount val="1"/>
                <c:pt idx="0">
                  <c:v>2485714.2857142859</c:v>
                </c:pt>
              </c:numCache>
            </c:numRef>
          </c:yVal>
          <c:smooth val="0"/>
          <c:extLst>
            <c:ext xmlns:c16="http://schemas.microsoft.com/office/drawing/2014/chart" uri="{C3380CC4-5D6E-409C-BE32-E72D297353CC}">
              <c16:uniqueId val="{00000003-88CD-A340-BC77-CA84598E4855}"/>
            </c:ext>
          </c:extLst>
        </c:ser>
        <c:ser>
          <c:idx val="4"/>
          <c:order val="4"/>
          <c:tx>
            <c:v>最大利润</c:v>
          </c:tx>
          <c:spPr>
            <a:ln w="19050" cap="rnd">
              <a:solidFill>
                <a:schemeClr val="accent5"/>
              </a:solidFill>
              <a:round/>
            </a:ln>
            <a:effectLst>
              <a:outerShdw blurRad="50800" dist="38100" dir="5400000" algn="t" rotWithShape="0">
                <a:prstClr val="black">
                  <a:alpha val="40000"/>
                </a:prstClr>
              </a:outerShdw>
            </a:effectLst>
          </c:spPr>
          <c:marker>
            <c:symbol val="circle"/>
            <c:size val="8"/>
            <c:spPr>
              <a:noFill/>
              <a:ln w="31750">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虚拟法!$A$67</c:f>
              <c:numCache>
                <c:formatCode>General</c:formatCode>
                <c:ptCount val="1"/>
                <c:pt idx="0">
                  <c:v>50000</c:v>
                </c:pt>
              </c:numCache>
            </c:numRef>
          </c:xVal>
          <c:yVal>
            <c:numRef>
              <c:f>虚拟法!$D$67</c:f>
              <c:numCache>
                <c:formatCode>General</c:formatCode>
                <c:ptCount val="1"/>
                <c:pt idx="0">
                  <c:v>750000</c:v>
                </c:pt>
              </c:numCache>
            </c:numRef>
          </c:yVal>
          <c:smooth val="0"/>
          <c:extLst>
            <c:ext xmlns:c16="http://schemas.microsoft.com/office/drawing/2014/chart" uri="{C3380CC4-5D6E-409C-BE32-E72D297353CC}">
              <c16:uniqueId val="{00000004-88CD-A340-BC77-CA84598E4855}"/>
            </c:ext>
          </c:extLst>
        </c:ser>
        <c:dLbls>
          <c:showLegendKey val="0"/>
          <c:showVal val="0"/>
          <c:showCatName val="0"/>
          <c:showSerName val="0"/>
          <c:showPercent val="0"/>
          <c:showBubbleSize val="0"/>
        </c:dLbls>
        <c:axId val="1965592512"/>
        <c:axId val="1965597888"/>
      </c:scatterChart>
      <c:valAx>
        <c:axId val="19655925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7888"/>
        <c:crosses val="autoZero"/>
        <c:crossBetween val="midCat"/>
      </c:valAx>
      <c:valAx>
        <c:axId val="1965597888"/>
        <c:scaling>
          <c:orientation val="minMax"/>
          <c:max val="5000000"/>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251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80520369736392"/>
          <c:y val="2.6755852842809364E-2"/>
          <c:w val="0.87119479630263608"/>
          <c:h val="0.88324994074737317"/>
        </c:manualLayout>
      </c:layout>
      <c:lineChart>
        <c:grouping val="standard"/>
        <c:varyColors val="0"/>
        <c:ser>
          <c:idx val="0"/>
          <c:order val="0"/>
          <c:tx>
            <c:strRef>
              <c:f>误差法!$B$1</c:f>
              <c:strCache>
                <c:ptCount val="1"/>
                <c:pt idx="0">
                  <c:v>销售</c:v>
                </c:pt>
              </c:strCache>
            </c:strRef>
          </c:tx>
          <c:spPr>
            <a:ln w="28575" cap="rnd">
              <a:noFill/>
              <a:round/>
            </a:ln>
            <a:effectLst/>
          </c:spPr>
          <c:marker>
            <c:symbol val="none"/>
          </c:marker>
          <c:cat>
            <c:strRef>
              <c:f>误差法!$A$2:$A$7</c:f>
              <c:strCache>
                <c:ptCount val="6"/>
                <c:pt idx="0">
                  <c:v>1月</c:v>
                </c:pt>
                <c:pt idx="1">
                  <c:v>2月</c:v>
                </c:pt>
                <c:pt idx="2">
                  <c:v>3月</c:v>
                </c:pt>
                <c:pt idx="3">
                  <c:v>4月</c:v>
                </c:pt>
                <c:pt idx="4">
                  <c:v>5月</c:v>
                </c:pt>
                <c:pt idx="5">
                  <c:v>6月</c:v>
                </c:pt>
              </c:strCache>
            </c:strRef>
          </c:cat>
          <c: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val>
          <c:smooth val="0"/>
          <c:extLst>
            <c:ext xmlns:c16="http://schemas.microsoft.com/office/drawing/2014/chart" uri="{C3380CC4-5D6E-409C-BE32-E72D297353CC}">
              <c16:uniqueId val="{00000000-E4E3-6C47-BDC0-38C978185B3D}"/>
            </c:ext>
          </c:extLst>
        </c:ser>
        <c:dLbls>
          <c:showLegendKey val="0"/>
          <c:showVal val="0"/>
          <c:showCatName val="0"/>
          <c:showSerName val="0"/>
          <c:showPercent val="0"/>
          <c:showBubbleSize val="0"/>
        </c:dLbls>
        <c:marker val="1"/>
        <c:smooth val="0"/>
        <c:axId val="2072382976"/>
        <c:axId val="2072385664"/>
      </c:lineChart>
      <c:scatterChart>
        <c:scatterStyle val="lineMarker"/>
        <c:varyColors val="0"/>
        <c:ser>
          <c:idx val="1"/>
          <c:order val="1"/>
          <c:tx>
            <c:v>销售散点</c:v>
          </c:tx>
          <c:spPr>
            <a:ln w="25400" cap="rnd">
              <a:solidFill>
                <a:schemeClr val="tx2"/>
              </a:solidFill>
              <a:round/>
            </a:ln>
            <a:effectLst/>
          </c:spPr>
          <c:marker>
            <c:symbol val="circle"/>
            <c:size val="6"/>
            <c:spPr>
              <a:solidFill>
                <a:schemeClr val="accent1"/>
              </a:solidFill>
              <a:ln w="9525">
                <a:noFill/>
              </a:ln>
              <a:effectLst/>
            </c:spPr>
          </c:marker>
          <c:errBars>
            <c:errDir val="x"/>
            <c:errBarType val="minus"/>
            <c:errValType val="cust"/>
            <c:noEndCap val="0"/>
            <c:plus>
              <c:numLit>
                <c:formatCode>General</c:formatCode>
                <c:ptCount val="1"/>
                <c:pt idx="0">
                  <c:v>1</c:v>
                </c:pt>
              </c:numLit>
            </c:plus>
            <c:minus>
              <c:numRef>
                <c:f>误差法!$C$2:$C$7</c:f>
                <c:numCache>
                  <c:formatCode>General</c:formatCode>
                  <c:ptCount val="6"/>
                  <c:pt idx="0">
                    <c:v>0.5</c:v>
                  </c:pt>
                  <c:pt idx="1">
                    <c:v>1.5</c:v>
                  </c:pt>
                  <c:pt idx="2">
                    <c:v>2.5</c:v>
                  </c:pt>
                  <c:pt idx="3">
                    <c:v>3.5</c:v>
                  </c:pt>
                  <c:pt idx="4">
                    <c:v>4.5</c:v>
                  </c:pt>
                  <c:pt idx="5">
                    <c:v>5.5</c:v>
                  </c:pt>
                </c:numCache>
              </c:numRef>
            </c:minus>
            <c:spPr>
              <a:noFill/>
              <a:ln w="9525" cap="flat" cmpd="sng" algn="ctr">
                <a:solidFill>
                  <a:schemeClr val="tx1">
                    <a:lumMod val="65000"/>
                    <a:lumOff val="35000"/>
                  </a:schemeClr>
                </a:solidFill>
                <a:round/>
              </a:ln>
              <a:effectLst/>
            </c:spPr>
          </c:errBars>
          <c:xVal>
            <c:strRef>
              <c:f>误差法!$A$2:$A$7</c:f>
              <c:strCache>
                <c:ptCount val="6"/>
                <c:pt idx="0">
                  <c:v>1月</c:v>
                </c:pt>
                <c:pt idx="1">
                  <c:v>2月</c:v>
                </c:pt>
                <c:pt idx="2">
                  <c:v>3月</c:v>
                </c:pt>
                <c:pt idx="3">
                  <c:v>4月</c:v>
                </c:pt>
                <c:pt idx="4">
                  <c:v>5月</c:v>
                </c:pt>
                <c:pt idx="5">
                  <c:v>6月</c:v>
                </c:pt>
              </c:strCache>
            </c:strRef>
          </c:xVal>
          <c:y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yVal>
          <c:smooth val="0"/>
          <c:extLst>
            <c:ext xmlns:c16="http://schemas.microsoft.com/office/drawing/2014/chart" uri="{C3380CC4-5D6E-409C-BE32-E72D297353CC}">
              <c16:uniqueId val="{00000001-E4E3-6C47-BDC0-38C978185B3D}"/>
            </c:ext>
          </c:extLst>
        </c:ser>
        <c:dLbls>
          <c:showLegendKey val="0"/>
          <c:showVal val="0"/>
          <c:showCatName val="0"/>
          <c:showSerName val="0"/>
          <c:showPercent val="0"/>
          <c:showBubbleSize val="0"/>
        </c:dLbls>
        <c:axId val="2072382976"/>
        <c:axId val="2072385664"/>
      </c:scatterChart>
      <c:catAx>
        <c:axId val="207238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5664"/>
        <c:crosses val="autoZero"/>
        <c:auto val="1"/>
        <c:lblAlgn val="ctr"/>
        <c:lblOffset val="100"/>
        <c:noMultiLvlLbl val="0"/>
      </c:catAx>
      <c:valAx>
        <c:axId val="207238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月份轴</c:v>
          </c:tx>
          <c:spPr>
            <a:no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val>
          <c:extLst>
            <c:ext xmlns:c16="http://schemas.microsoft.com/office/drawing/2014/chart" uri="{C3380CC4-5D6E-409C-BE32-E72D297353CC}">
              <c16:uniqueId val="{00000005-4429-9B4B-A6BE-8EAC7E50A46C}"/>
            </c:ext>
          </c:extLst>
        </c:ser>
        <c:dLbls>
          <c:showLegendKey val="0"/>
          <c:showVal val="0"/>
          <c:showCatName val="0"/>
          <c:showSerName val="0"/>
          <c:showPercent val="0"/>
          <c:showBubbleSize val="0"/>
        </c:dLbls>
        <c:gapWidth val="150"/>
        <c:axId val="1636246719"/>
        <c:axId val="1636252095"/>
      </c:barChart>
      <c:scatterChart>
        <c:scatterStyle val="lineMarker"/>
        <c:varyColors val="0"/>
        <c:ser>
          <c:idx val="0"/>
          <c:order val="0"/>
          <c:tx>
            <c:strRef>
              <c:f>误差法!$B$22</c:f>
              <c:strCache>
                <c:ptCount val="1"/>
                <c:pt idx="0">
                  <c:v>销售(万)</c:v>
                </c:pt>
              </c:strCache>
            </c:strRef>
          </c:tx>
          <c:spPr>
            <a:ln w="25400" cap="rnd">
              <a:noFill/>
              <a:round/>
            </a:ln>
            <a:effectLst/>
          </c:spPr>
          <c:marker>
            <c:symbol val="circle"/>
            <c:size val="5"/>
            <c:spPr>
              <a:noFill/>
              <a:ln w="9525">
                <a:noFill/>
              </a:ln>
              <a:effectLst/>
            </c:spPr>
          </c:marker>
          <c:errBars>
            <c:errDir val="y"/>
            <c:errBarType val="plus"/>
            <c:errValType val="cust"/>
            <c:noEndCap val="1"/>
            <c:plus>
              <c:numRef>
                <c:f>误差法!$C$23:$C$34</c:f>
                <c:numCache>
                  <c:formatCode>General</c:formatCode>
                  <c:ptCount val="12"/>
                  <c:pt idx="0">
                    <c:v>140</c:v>
                  </c:pt>
                  <c:pt idx="1">
                    <c:v>-146</c:v>
                  </c:pt>
                  <c:pt idx="2">
                    <c:v>182</c:v>
                  </c:pt>
                  <c:pt idx="3">
                    <c:v>-48</c:v>
                  </c:pt>
                  <c:pt idx="4">
                    <c:v>-61</c:v>
                  </c:pt>
                  <c:pt idx="5">
                    <c:v>67</c:v>
                  </c:pt>
                  <c:pt idx="6">
                    <c:v>-83</c:v>
                  </c:pt>
                  <c:pt idx="7">
                    <c:v>105</c:v>
                  </c:pt>
                  <c:pt idx="8">
                    <c:v>-23</c:v>
                  </c:pt>
                  <c:pt idx="9">
                    <c:v>225</c:v>
                  </c:pt>
                  <c:pt idx="10">
                    <c:v>-95</c:v>
                  </c:pt>
                  <c:pt idx="11">
                    <c:v>-370</c:v>
                  </c:pt>
                </c:numCache>
              </c:numRef>
            </c:plus>
            <c:minus>
              <c:numLit>
                <c:formatCode>General</c:formatCode>
                <c:ptCount val="1"/>
                <c:pt idx="0">
                  <c:v>1</c:v>
                </c:pt>
              </c:numLit>
            </c:minus>
            <c:spPr>
              <a:noFill/>
              <a:ln w="9525" cap="flat" cmpd="sng" algn="ctr">
                <a:solidFill>
                  <a:schemeClr val="tx1">
                    <a:lumMod val="65000"/>
                    <a:lumOff val="35000"/>
                  </a:schemeClr>
                </a:solidFill>
                <a:round/>
              </a:ln>
              <a:effectLst/>
            </c:spPr>
          </c:errBars>
          <c:errBars>
            <c:errDir val="x"/>
            <c:errBarType val="minus"/>
            <c:errValType val="fixedVal"/>
            <c:noEndCap val="1"/>
            <c:val val="1"/>
            <c:spPr>
              <a:noFill/>
              <a:ln w="9525" cap="flat" cmpd="sng" algn="ctr">
                <a:solidFill>
                  <a:schemeClr val="tx1">
                    <a:lumMod val="65000"/>
                    <a:lumOff val="35000"/>
                  </a:schemeClr>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0-4429-9B4B-A6BE-8EAC7E50A46C}"/>
            </c:ext>
          </c:extLst>
        </c:ser>
        <c:dLbls>
          <c:showLegendKey val="0"/>
          <c:showVal val="0"/>
          <c:showCatName val="0"/>
          <c:showSerName val="0"/>
          <c:showPercent val="0"/>
          <c:showBubbleSize val="0"/>
        </c:dLbls>
        <c:axId val="1109235839"/>
        <c:axId val="999979455"/>
      </c:scatterChart>
      <c:catAx>
        <c:axId val="1636246719"/>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52095"/>
        <c:crosses val="autoZero"/>
        <c:auto val="1"/>
        <c:lblAlgn val="ctr"/>
        <c:lblOffset val="100"/>
        <c:noMultiLvlLbl val="0"/>
      </c:catAx>
      <c:valAx>
        <c:axId val="1636252095"/>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46719"/>
        <c:crosses val="autoZero"/>
        <c:crossBetween val="between"/>
      </c:valAx>
      <c:valAx>
        <c:axId val="999979455"/>
        <c:scaling>
          <c:orientation val="minMax"/>
        </c:scaling>
        <c:delete val="0"/>
        <c:axPos val="r"/>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09235839"/>
        <c:crosses val="max"/>
        <c:crossBetween val="midCat"/>
      </c:valAx>
      <c:valAx>
        <c:axId val="1109235839"/>
        <c:scaling>
          <c:orientation val="minMax"/>
          <c:max val="12"/>
          <c:min val="0"/>
        </c:scaling>
        <c:delete val="0"/>
        <c:axPos val="t"/>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9997945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误差法!$C$47</c:f>
              <c:strCache>
                <c:ptCount val="1"/>
                <c:pt idx="0">
                  <c:v>中心点位</c:v>
                </c:pt>
              </c:strCache>
            </c:strRef>
          </c:tx>
          <c:spPr>
            <a:ln w="28575" cap="rnd">
              <a:noFill/>
              <a:round/>
            </a:ln>
            <a:effectLst/>
          </c:spPr>
          <c:marker>
            <c:symbol val="none"/>
          </c:marker>
          <c:dLbls>
            <c:dLbl>
              <c:idx val="0"/>
              <c:tx>
                <c:rich>
                  <a:bodyPr/>
                  <a:lstStyle/>
                  <a:p>
                    <a:fld id="{BC535534-C589-294E-B5A5-856B6BB0B195}"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F31-B74E-8964-8F6BF6A27102}"/>
                </c:ext>
              </c:extLst>
            </c:dLbl>
            <c:dLbl>
              <c:idx val="1"/>
              <c:tx>
                <c:rich>
                  <a:bodyPr/>
                  <a:lstStyle/>
                  <a:p>
                    <a:fld id="{70912845-1B81-D747-A860-3B8C57497A9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F31-B74E-8964-8F6BF6A27102}"/>
                </c:ext>
              </c:extLst>
            </c:dLbl>
            <c:dLbl>
              <c:idx val="2"/>
              <c:tx>
                <c:rich>
                  <a:bodyPr/>
                  <a:lstStyle/>
                  <a:p>
                    <a:fld id="{A0082836-BD6C-AF4B-80DC-AE30B9884DD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F31-B74E-8964-8F6BF6A27102}"/>
                </c:ext>
              </c:extLst>
            </c:dLbl>
            <c:dLbl>
              <c:idx val="3"/>
              <c:tx>
                <c:rich>
                  <a:bodyPr/>
                  <a:lstStyle/>
                  <a:p>
                    <a:fld id="{9C7A023D-1805-8241-8B37-FE02BC0762A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F31-B74E-8964-8F6BF6A27102}"/>
                </c:ext>
              </c:extLst>
            </c:dLbl>
            <c:dLbl>
              <c:idx val="4"/>
              <c:tx>
                <c:rich>
                  <a:bodyPr/>
                  <a:lstStyle/>
                  <a:p>
                    <a:fld id="{31D7D93D-BB80-8444-B59D-A78E66092DF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BF31-B74E-8964-8F6BF6A27102}"/>
                </c:ext>
              </c:extLst>
            </c:dLbl>
            <c:dLbl>
              <c:idx val="5"/>
              <c:tx>
                <c:rich>
                  <a:bodyPr/>
                  <a:lstStyle/>
                  <a:p>
                    <a:fld id="{D04C65C8-2D90-9245-BC79-69761B2894B3}"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F31-B74E-8964-8F6BF6A27102}"/>
                </c:ext>
              </c:extLst>
            </c:dLbl>
            <c:dLbl>
              <c:idx val="6"/>
              <c:tx>
                <c:rich>
                  <a:bodyPr/>
                  <a:lstStyle/>
                  <a:p>
                    <a:fld id="{6ECD57A4-C925-9046-AC3D-BDF5FA59910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BF31-B74E-8964-8F6BF6A27102}"/>
                </c:ext>
              </c:extLst>
            </c:dLbl>
            <c:dLbl>
              <c:idx val="7"/>
              <c:tx>
                <c:rich>
                  <a:bodyPr/>
                  <a:lstStyle/>
                  <a:p>
                    <a:fld id="{B1BCAE6A-730E-9446-BB38-7A862244F60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F31-B74E-8964-8F6BF6A27102}"/>
                </c:ext>
              </c:extLst>
            </c:dLbl>
            <c:dLbl>
              <c:idx val="8"/>
              <c:tx>
                <c:rich>
                  <a:bodyPr/>
                  <a:lstStyle/>
                  <a:p>
                    <a:fld id="{9FEE474F-479B-C442-8ECB-74C732C3E23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BF31-B74E-8964-8F6BF6A27102}"/>
                </c:ext>
              </c:extLst>
            </c:dLbl>
            <c:dLbl>
              <c:idx val="9"/>
              <c:tx>
                <c:rich>
                  <a:bodyPr/>
                  <a:lstStyle/>
                  <a:p>
                    <a:fld id="{E97ADD48-CF7C-1144-B8EF-33D8BEE000A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BF31-B74E-8964-8F6BF6A27102}"/>
                </c:ext>
              </c:extLst>
            </c:dLbl>
            <c:dLbl>
              <c:idx val="10"/>
              <c:tx>
                <c:rich>
                  <a:bodyPr/>
                  <a:lstStyle/>
                  <a:p>
                    <a:fld id="{79162BAE-5A8A-9A40-A7BD-6D0FF1B742A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BF31-B74E-8964-8F6BF6A27102}"/>
                </c:ext>
              </c:extLst>
            </c:dLbl>
            <c:dLbl>
              <c:idx val="11"/>
              <c:tx>
                <c:rich>
                  <a:bodyPr/>
                  <a:lstStyle/>
                  <a:p>
                    <a:fld id="{C8949D90-78B2-6642-B0D1-3D357ECAB72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BF31-B74E-8964-8F6BF6A271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误差法!$C$48:$C$59</c:f>
              <c:numCache>
                <c:formatCode>General</c:formatCode>
                <c:ptCount val="12"/>
                <c:pt idx="0">
                  <c:v>177</c:v>
                </c:pt>
                <c:pt idx="1">
                  <c:v>174</c:v>
                </c:pt>
                <c:pt idx="2">
                  <c:v>192</c:v>
                </c:pt>
                <c:pt idx="3">
                  <c:v>259</c:v>
                </c:pt>
                <c:pt idx="4">
                  <c:v>204.5</c:v>
                </c:pt>
                <c:pt idx="5">
                  <c:v>207.5</c:v>
                </c:pt>
                <c:pt idx="6">
                  <c:v>199.5</c:v>
                </c:pt>
                <c:pt idx="7">
                  <c:v>210.5</c:v>
                </c:pt>
                <c:pt idx="8">
                  <c:v>251.5</c:v>
                </c:pt>
                <c:pt idx="9">
                  <c:v>352.5</c:v>
                </c:pt>
                <c:pt idx="10">
                  <c:v>417.5</c:v>
                </c:pt>
                <c:pt idx="11">
                  <c:v>185</c:v>
                </c:pt>
              </c:numCache>
            </c:numRef>
          </c:val>
          <c:smooth val="0"/>
          <c:extLst>
            <c:ext xmlns:c15="http://schemas.microsoft.com/office/drawing/2012/chart" uri="{02D57815-91ED-43cb-92C2-25804820EDAC}">
              <c15:datalabelsRange>
                <c15:f>误差法!$C$23:$C$34</c15:f>
                <c15:dlblRangeCache>
                  <c:ptCount val="12"/>
                  <c:pt idx="0">
                    <c:v>140</c:v>
                  </c:pt>
                  <c:pt idx="1">
                    <c:v>-146</c:v>
                  </c:pt>
                  <c:pt idx="2">
                    <c:v>182</c:v>
                  </c:pt>
                  <c:pt idx="3">
                    <c:v>-48</c:v>
                  </c:pt>
                  <c:pt idx="4">
                    <c:v>-61</c:v>
                  </c:pt>
                  <c:pt idx="5">
                    <c:v>67</c:v>
                  </c:pt>
                  <c:pt idx="6">
                    <c:v>-83</c:v>
                  </c:pt>
                  <c:pt idx="7">
                    <c:v>105</c:v>
                  </c:pt>
                  <c:pt idx="8">
                    <c:v>-23</c:v>
                  </c:pt>
                  <c:pt idx="9">
                    <c:v>225</c:v>
                  </c:pt>
                  <c:pt idx="10">
                    <c:v>-95</c:v>
                  </c:pt>
                  <c:pt idx="11">
                    <c:v>-370</c:v>
                  </c:pt>
                </c15:dlblRangeCache>
              </c15:datalabelsRange>
            </c:ext>
            <c:ext xmlns:c16="http://schemas.microsoft.com/office/drawing/2014/chart" uri="{C3380CC4-5D6E-409C-BE32-E72D297353CC}">
              <c16:uniqueId val="{00000000-BF31-B74E-8964-8F6BF6A27102}"/>
            </c:ext>
          </c:extLst>
        </c:ser>
        <c:dLbls>
          <c:showLegendKey val="0"/>
          <c:showVal val="0"/>
          <c:showCatName val="0"/>
          <c:showSerName val="0"/>
          <c:showPercent val="0"/>
          <c:showBubbleSize val="0"/>
        </c:dLbls>
        <c:marker val="1"/>
        <c:smooth val="0"/>
        <c:axId val="1252322239"/>
        <c:axId val="1210098431"/>
      </c:lineChart>
      <c:scatterChart>
        <c:scatterStyle val="lineMarker"/>
        <c:varyColors val="0"/>
        <c:ser>
          <c:idx val="1"/>
          <c:order val="1"/>
          <c:tx>
            <c:v>正值</c:v>
          </c:tx>
          <c:spPr>
            <a:ln w="25400" cap="rnd">
              <a:noFill/>
              <a:round/>
            </a:ln>
            <a:effectLst/>
          </c:spPr>
          <c:marker>
            <c:symbol val="none"/>
          </c:marker>
          <c:errBars>
            <c:errDir val="x"/>
            <c:errBarType val="minus"/>
            <c:errValType val="fixedVal"/>
            <c:noEndCap val="1"/>
            <c:val val="1"/>
            <c:spPr>
              <a:noFill/>
              <a:ln w="9525" cap="flat" cmpd="sng" algn="ctr">
                <a:solidFill>
                  <a:schemeClr val="tx1">
                    <a:lumMod val="65000"/>
                    <a:lumOff val="35000"/>
                  </a:schemeClr>
                </a:solidFill>
                <a:round/>
              </a:ln>
              <a:effectLst/>
            </c:spPr>
          </c:errBars>
          <c:errBars>
            <c:errDir val="y"/>
            <c:errBarType val="plus"/>
            <c:errValType val="cust"/>
            <c:noEndCap val="1"/>
            <c:plus>
              <c:numRef>
                <c:f>误差法!$A$48:$A$59</c:f>
                <c:numCache>
                  <c:formatCode>General</c:formatCode>
                  <c:ptCount val="12"/>
                  <c:pt idx="0">
                    <c:v>140</c:v>
                  </c:pt>
                  <c:pt idx="1">
                    <c:v>0</c:v>
                  </c:pt>
                  <c:pt idx="2">
                    <c:v>182</c:v>
                  </c:pt>
                  <c:pt idx="3">
                    <c:v>0</c:v>
                  </c:pt>
                  <c:pt idx="4">
                    <c:v>0</c:v>
                  </c:pt>
                  <c:pt idx="5">
                    <c:v>67</c:v>
                  </c:pt>
                  <c:pt idx="6">
                    <c:v>0</c:v>
                  </c:pt>
                  <c:pt idx="7">
                    <c:v>105</c:v>
                  </c:pt>
                  <c:pt idx="8">
                    <c:v>0</c:v>
                  </c:pt>
                  <c:pt idx="9">
                    <c:v>225</c:v>
                  </c:pt>
                  <c:pt idx="10">
                    <c:v>0</c:v>
                  </c:pt>
                  <c:pt idx="11">
                    <c:v>0</c:v>
                  </c:pt>
                </c:numCache>
              </c:numRef>
            </c:plus>
            <c:minus>
              <c:numLit>
                <c:formatCode>General</c:formatCode>
                <c:ptCount val="1"/>
                <c:pt idx="0">
                  <c:v>1</c:v>
                </c:pt>
              </c:numLit>
            </c:minus>
            <c:spPr>
              <a:noFill/>
              <a:ln w="228600" cap="flat" cmpd="sng" algn="ctr">
                <a:solidFill>
                  <a:srgbClr val="00B05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1-BF31-B74E-8964-8F6BF6A27102}"/>
            </c:ext>
          </c:extLst>
        </c:ser>
        <c:ser>
          <c:idx val="2"/>
          <c:order val="2"/>
          <c:tx>
            <c:v>负值</c:v>
          </c:tx>
          <c:spPr>
            <a:ln w="25400" cap="rnd">
              <a:noFill/>
              <a:round/>
            </a:ln>
            <a:effectLst/>
          </c:spPr>
          <c:marker>
            <c:symbol val="none"/>
          </c:marker>
          <c:errBars>
            <c:errDir val="y"/>
            <c:errBarType val="plus"/>
            <c:errValType val="cust"/>
            <c:noEndCap val="1"/>
            <c:plus>
              <c:numRef>
                <c:f>误差法!$B$48:$B$59</c:f>
                <c:numCache>
                  <c:formatCode>General</c:formatCode>
                  <c:ptCount val="12"/>
                  <c:pt idx="0">
                    <c:v>0</c:v>
                  </c:pt>
                  <c:pt idx="1">
                    <c:v>-146</c:v>
                  </c:pt>
                  <c:pt idx="2">
                    <c:v>0</c:v>
                  </c:pt>
                  <c:pt idx="3">
                    <c:v>-48</c:v>
                  </c:pt>
                  <c:pt idx="4">
                    <c:v>-61</c:v>
                  </c:pt>
                  <c:pt idx="5">
                    <c:v>0</c:v>
                  </c:pt>
                  <c:pt idx="6">
                    <c:v>-83</c:v>
                  </c:pt>
                  <c:pt idx="7">
                    <c:v>0</c:v>
                  </c:pt>
                  <c:pt idx="8">
                    <c:v>-23</c:v>
                  </c:pt>
                  <c:pt idx="9">
                    <c:v>0</c:v>
                  </c:pt>
                  <c:pt idx="10">
                    <c:v>-95</c:v>
                  </c:pt>
                  <c:pt idx="11">
                    <c:v>-370</c:v>
                  </c:pt>
                </c:numCache>
              </c:numRef>
            </c:plus>
            <c:minus>
              <c:numLit>
                <c:formatCode>General</c:formatCode>
                <c:ptCount val="1"/>
                <c:pt idx="0">
                  <c:v>1</c:v>
                </c:pt>
              </c:numLit>
            </c:minus>
            <c:spPr>
              <a:noFill/>
              <a:ln w="228600" cap="flat" cmpd="sng" algn="ctr">
                <a:solidFill>
                  <a:srgbClr val="FF000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2-BF31-B74E-8964-8F6BF6A27102}"/>
            </c:ext>
          </c:extLst>
        </c:ser>
        <c:dLbls>
          <c:showLegendKey val="0"/>
          <c:showVal val="0"/>
          <c:showCatName val="0"/>
          <c:showSerName val="0"/>
          <c:showPercent val="0"/>
          <c:showBubbleSize val="0"/>
        </c:dLbls>
        <c:axId val="1129413055"/>
        <c:axId val="1252428415"/>
      </c:scatterChart>
      <c:catAx>
        <c:axId val="12523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10098431"/>
        <c:crosses val="autoZero"/>
        <c:auto val="1"/>
        <c:lblAlgn val="ctr"/>
        <c:lblOffset val="100"/>
        <c:noMultiLvlLbl val="0"/>
      </c:catAx>
      <c:valAx>
        <c:axId val="1210098431"/>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322239"/>
        <c:crosses val="autoZero"/>
        <c:crossBetween val="between"/>
      </c:valAx>
      <c:valAx>
        <c:axId val="1252428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29413055"/>
        <c:crosses val="max"/>
        <c:crossBetween val="midCat"/>
      </c:valAx>
      <c:valAx>
        <c:axId val="1129413055"/>
        <c:scaling>
          <c:orientation val="minMax"/>
          <c:max val="12.5"/>
          <c:min val="0.5"/>
        </c:scaling>
        <c:delete val="0"/>
        <c:axPos val="t"/>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42841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r>
              <a:rPr lang="zh-CN" altLang="en-US"/>
              <a:t>市场占有率</a:t>
            </a:r>
          </a:p>
        </c:rich>
      </c:tx>
      <c:layout>
        <c:manualLayout>
          <c:xMode val="edge"/>
          <c:yMode val="edge"/>
          <c:x val="0.38693780795914229"/>
          <c:y val="0.49150494830382774"/>
        </c:manualLayout>
      </c:layout>
      <c:overlay val="0"/>
      <c:spPr>
        <a:noFill/>
        <a:ln>
          <a:noFill/>
        </a:ln>
        <a:effectLst/>
      </c:spPr>
      <c:txPr>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doughnutChart>
        <c:varyColors val="1"/>
        <c:ser>
          <c:idx val="0"/>
          <c:order val="0"/>
          <c:tx>
            <c:strRef>
              <c:f>其它图表!$B$5</c:f>
              <c:strCache>
                <c:ptCount val="1"/>
                <c:pt idx="0">
                  <c:v>2010年</c:v>
                </c:pt>
              </c:strCache>
            </c:strRef>
          </c:tx>
          <c:dPt>
            <c:idx val="0"/>
            <c:bubble3D val="0"/>
            <c:spPr>
              <a:solidFill>
                <a:schemeClr val="tx2">
                  <a:lumMod val="50000"/>
                  <a:alpha val="4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A-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4-CCB2-E740-976F-654B443DF4CB}"/>
              </c:ext>
            </c:extLst>
          </c:dPt>
          <c:cat>
            <c:strRef>
              <c:f>其它图表!$C$4:$D$4</c:f>
              <c:strCache>
                <c:ptCount val="2"/>
                <c:pt idx="0">
                  <c:v>市场占有率</c:v>
                </c:pt>
                <c:pt idx="1">
                  <c:v>辅助列</c:v>
                </c:pt>
              </c:strCache>
            </c:strRef>
          </c:cat>
          <c:val>
            <c:numRef>
              <c:f>其它图表!$C$5:$D$5</c:f>
              <c:numCache>
                <c:formatCode>0%</c:formatCode>
                <c:ptCount val="2"/>
                <c:pt idx="0">
                  <c:v>0.45</c:v>
                </c:pt>
                <c:pt idx="1">
                  <c:v>0.55000000000000004</c:v>
                </c:pt>
              </c:numCache>
            </c:numRef>
          </c:val>
          <c:extLst>
            <c:ext xmlns:c16="http://schemas.microsoft.com/office/drawing/2014/chart" uri="{C3380CC4-5D6E-409C-BE32-E72D297353CC}">
              <c16:uniqueId val="{00000000-CCB2-E740-976F-654B443DF4CB}"/>
            </c:ext>
          </c:extLst>
        </c:ser>
        <c:ser>
          <c:idx val="1"/>
          <c:order val="1"/>
          <c:tx>
            <c:strRef>
              <c:f>其它图表!$B$6</c:f>
              <c:strCache>
                <c:ptCount val="1"/>
                <c:pt idx="0">
                  <c:v>2011年</c:v>
                </c:pt>
              </c:strCache>
            </c:strRef>
          </c:tx>
          <c:dPt>
            <c:idx val="0"/>
            <c:bubble3D val="0"/>
            <c:spPr>
              <a:solidFill>
                <a:schemeClr val="tx2">
                  <a:lumMod val="50000"/>
                  <a:alpha val="6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9-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5-CCB2-E740-976F-654B443DF4CB}"/>
              </c:ext>
            </c:extLst>
          </c:dPt>
          <c:cat>
            <c:strRef>
              <c:f>其它图表!$C$4:$D$4</c:f>
              <c:strCache>
                <c:ptCount val="2"/>
                <c:pt idx="0">
                  <c:v>市场占有率</c:v>
                </c:pt>
                <c:pt idx="1">
                  <c:v>辅助列</c:v>
                </c:pt>
              </c:strCache>
            </c:strRef>
          </c:cat>
          <c:val>
            <c:numRef>
              <c:f>其它图表!$C$6:$D$6</c:f>
              <c:numCache>
                <c:formatCode>0%</c:formatCode>
                <c:ptCount val="2"/>
                <c:pt idx="0">
                  <c:v>0.56000000000000005</c:v>
                </c:pt>
                <c:pt idx="1">
                  <c:v>0.43999999999999995</c:v>
                </c:pt>
              </c:numCache>
            </c:numRef>
          </c:val>
          <c:extLst>
            <c:ext xmlns:c16="http://schemas.microsoft.com/office/drawing/2014/chart" uri="{C3380CC4-5D6E-409C-BE32-E72D297353CC}">
              <c16:uniqueId val="{00000001-CCB2-E740-976F-654B443DF4CB}"/>
            </c:ext>
          </c:extLst>
        </c:ser>
        <c:ser>
          <c:idx val="2"/>
          <c:order val="2"/>
          <c:tx>
            <c:strRef>
              <c:f>其它图表!$B$7</c:f>
              <c:strCache>
                <c:ptCount val="1"/>
                <c:pt idx="0">
                  <c:v>2012年</c:v>
                </c:pt>
              </c:strCache>
            </c:strRef>
          </c:tx>
          <c:dPt>
            <c:idx val="0"/>
            <c:bubble3D val="0"/>
            <c:spPr>
              <a:solidFill>
                <a:schemeClr val="tx2">
                  <a:lumMod val="50000"/>
                  <a:alpha val="8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8-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6-CCB2-E740-976F-654B443DF4CB}"/>
              </c:ext>
            </c:extLst>
          </c:dPt>
          <c:cat>
            <c:strRef>
              <c:f>其它图表!$C$4:$D$4</c:f>
              <c:strCache>
                <c:ptCount val="2"/>
                <c:pt idx="0">
                  <c:v>市场占有率</c:v>
                </c:pt>
                <c:pt idx="1">
                  <c:v>辅助列</c:v>
                </c:pt>
              </c:strCache>
            </c:strRef>
          </c:cat>
          <c:val>
            <c:numRef>
              <c:f>其它图表!$C$7:$D$7</c:f>
              <c:numCache>
                <c:formatCode>0%</c:formatCode>
                <c:ptCount val="2"/>
                <c:pt idx="0">
                  <c:v>0.63</c:v>
                </c:pt>
                <c:pt idx="1">
                  <c:v>0.37</c:v>
                </c:pt>
              </c:numCache>
            </c:numRef>
          </c:val>
          <c:extLst>
            <c:ext xmlns:c16="http://schemas.microsoft.com/office/drawing/2014/chart" uri="{C3380CC4-5D6E-409C-BE32-E72D297353CC}">
              <c16:uniqueId val="{00000002-CCB2-E740-976F-654B443DF4CB}"/>
            </c:ext>
          </c:extLst>
        </c:ser>
        <c:ser>
          <c:idx val="3"/>
          <c:order val="3"/>
          <c:tx>
            <c:strRef>
              <c:f>其它图表!$B$8</c:f>
              <c:strCache>
                <c:ptCount val="1"/>
                <c:pt idx="0">
                  <c:v>2013年</c:v>
                </c:pt>
              </c:strCache>
            </c:strRef>
          </c:tx>
          <c:spPr>
            <a:solidFill>
              <a:schemeClr val="tx2">
                <a:lumMod val="50000"/>
              </a:schemeClr>
            </a:solidFill>
            <a:effectLst>
              <a:outerShdw blurRad="50800" dist="38100" dir="5400000" algn="t" rotWithShape="0">
                <a:prstClr val="black">
                  <a:alpha val="40000"/>
                </a:prstClr>
              </a:outerShdw>
            </a:effectLst>
          </c:spPr>
          <c:dPt>
            <c:idx val="0"/>
            <c:bubble3D val="0"/>
            <c:spPr>
              <a:solidFill>
                <a:schemeClr val="tx2">
                  <a:lumMod val="5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D-B115-E242-B46B-C83F4244397E}"/>
              </c:ext>
            </c:extLst>
          </c:dPt>
          <c:dPt>
            <c:idx val="1"/>
            <c:bubble3D val="0"/>
            <c:spPr>
              <a:noFill/>
              <a:ln w="19050">
                <a:solidFill>
                  <a:schemeClr val="lt1"/>
                </a:solidFill>
              </a:ln>
              <a:effectLst/>
            </c:spPr>
            <c:extLst>
              <c:ext xmlns:c16="http://schemas.microsoft.com/office/drawing/2014/chart" uri="{C3380CC4-5D6E-409C-BE32-E72D297353CC}">
                <c16:uniqueId val="{00000007-CCB2-E740-976F-654B443DF4CB}"/>
              </c:ext>
            </c:extLst>
          </c:dPt>
          <c:cat>
            <c:strRef>
              <c:f>其它图表!$C$4:$D$4</c:f>
              <c:strCache>
                <c:ptCount val="2"/>
                <c:pt idx="0">
                  <c:v>市场占有率</c:v>
                </c:pt>
                <c:pt idx="1">
                  <c:v>辅助列</c:v>
                </c:pt>
              </c:strCache>
            </c:strRef>
          </c:cat>
          <c:val>
            <c:numRef>
              <c:f>其它图表!$C$8:$D$8</c:f>
              <c:numCache>
                <c:formatCode>0%</c:formatCode>
                <c:ptCount val="2"/>
                <c:pt idx="0">
                  <c:v>0.75</c:v>
                </c:pt>
                <c:pt idx="1">
                  <c:v>0.25</c:v>
                </c:pt>
              </c:numCache>
            </c:numRef>
          </c:val>
          <c:extLst>
            <c:ext xmlns:c16="http://schemas.microsoft.com/office/drawing/2014/chart" uri="{C3380CC4-5D6E-409C-BE32-E72D297353CC}">
              <c16:uniqueId val="{00000003-CCB2-E740-976F-654B443DF4CB}"/>
            </c:ext>
          </c:extLst>
        </c:ser>
        <c:dLbls>
          <c:showLegendKey val="0"/>
          <c:showVal val="0"/>
          <c:showCatName val="0"/>
          <c:showSerName val="0"/>
          <c:showPercent val="0"/>
          <c:showBubbleSize val="0"/>
          <c:showLeaderLines val="1"/>
        </c:dLbls>
        <c:firstSliceAng val="0"/>
        <c:holeSize val="4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其它图表!$C$21</c:f>
              <c:strCache>
                <c:ptCount val="1"/>
                <c:pt idx="0">
                  <c:v>彩盒</c:v>
                </c:pt>
              </c:strCache>
            </c:strRef>
          </c:tx>
          <c:spPr>
            <a:solidFill>
              <a:schemeClr val="tx2">
                <a:lumMod val="5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其它图表!$C$22:$C$33</c:f>
              <c:numCache>
                <c:formatCode>General</c:formatCode>
                <c:ptCount val="12"/>
                <c:pt idx="0">
                  <c:v>382003.9</c:v>
                </c:pt>
                <c:pt idx="1">
                  <c:v>222520.2</c:v>
                </c:pt>
                <c:pt idx="2">
                  <c:v>507398.7</c:v>
                </c:pt>
                <c:pt idx="3">
                  <c:v>582530.5</c:v>
                </c:pt>
                <c:pt idx="4">
                  <c:v>401726.4</c:v>
                </c:pt>
                <c:pt idx="5">
                  <c:v>334359.90000000002</c:v>
                </c:pt>
                <c:pt idx="6">
                  <c:v>510119</c:v>
                </c:pt>
                <c:pt idx="7">
                  <c:v>220130.1</c:v>
                </c:pt>
                <c:pt idx="8">
                  <c:v>373503.2</c:v>
                </c:pt>
                <c:pt idx="9">
                  <c:v>439424.1</c:v>
                </c:pt>
                <c:pt idx="10">
                  <c:v>428661.6</c:v>
                </c:pt>
                <c:pt idx="11">
                  <c:v>692964.7</c:v>
                </c:pt>
              </c:numCache>
            </c:numRef>
          </c:val>
          <c:extLst>
            <c:ext xmlns:c16="http://schemas.microsoft.com/office/drawing/2014/chart" uri="{C3380CC4-5D6E-409C-BE32-E72D297353CC}">
              <c16:uniqueId val="{00000000-551B-B84C-B2DC-5DCFCBFCD4BD}"/>
            </c:ext>
          </c:extLst>
        </c:ser>
        <c:ser>
          <c:idx val="1"/>
          <c:order val="1"/>
          <c:tx>
            <c:strRef>
              <c:f>其它图表!$D$21</c:f>
              <c:strCache>
                <c:ptCount val="1"/>
                <c:pt idx="0">
                  <c:v>宠物用品</c:v>
                </c:pt>
              </c:strCache>
            </c:strRef>
          </c:tx>
          <c:spPr>
            <a:solidFill>
              <a:schemeClr val="tx2">
                <a:lumMod val="50000"/>
                <a:alpha val="8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其它图表!$D$22:$D$33</c:f>
              <c:numCache>
                <c:formatCode>General</c:formatCode>
                <c:ptCount val="12"/>
                <c:pt idx="0">
                  <c:v>364203.6</c:v>
                </c:pt>
                <c:pt idx="1">
                  <c:v>181175.7</c:v>
                </c:pt>
                <c:pt idx="2">
                  <c:v>867964.1</c:v>
                </c:pt>
                <c:pt idx="3">
                  <c:v>1153034.7</c:v>
                </c:pt>
                <c:pt idx="4">
                  <c:v>381435.7</c:v>
                </c:pt>
                <c:pt idx="5">
                  <c:v>309793.2</c:v>
                </c:pt>
                <c:pt idx="6">
                  <c:v>580041.4</c:v>
                </c:pt>
                <c:pt idx="7">
                  <c:v>150590</c:v>
                </c:pt>
                <c:pt idx="8">
                  <c:v>408638.3</c:v>
                </c:pt>
                <c:pt idx="9">
                  <c:v>305883.09999999998</c:v>
                </c:pt>
                <c:pt idx="10">
                  <c:v>194589.1</c:v>
                </c:pt>
                <c:pt idx="11">
                  <c:v>111893</c:v>
                </c:pt>
              </c:numCache>
            </c:numRef>
          </c:val>
          <c:extLst>
            <c:ext xmlns:c16="http://schemas.microsoft.com/office/drawing/2014/chart" uri="{C3380CC4-5D6E-409C-BE32-E72D297353CC}">
              <c16:uniqueId val="{00000001-551B-B84C-B2DC-5DCFCBFCD4BD}"/>
            </c:ext>
          </c:extLst>
        </c:ser>
        <c:ser>
          <c:idx val="2"/>
          <c:order val="2"/>
          <c:tx>
            <c:strRef>
              <c:f>其它图表!$E$21</c:f>
              <c:strCache>
                <c:ptCount val="1"/>
                <c:pt idx="0">
                  <c:v>警告标</c:v>
                </c:pt>
              </c:strCache>
            </c:strRef>
          </c:tx>
          <c:spPr>
            <a:solidFill>
              <a:schemeClr val="tx2">
                <a:lumMod val="50000"/>
                <a:alpha val="6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其它图表!$E$22:$E$33</c:f>
              <c:numCache>
                <c:formatCode>General</c:formatCode>
                <c:ptCount val="12"/>
                <c:pt idx="0">
                  <c:v>82190.399999999994</c:v>
                </c:pt>
                <c:pt idx="1">
                  <c:v>77177.7</c:v>
                </c:pt>
                <c:pt idx="2">
                  <c:v>274581.59999999998</c:v>
                </c:pt>
                <c:pt idx="3">
                  <c:v>216350.3</c:v>
                </c:pt>
                <c:pt idx="4">
                  <c:v>347903.1</c:v>
                </c:pt>
                <c:pt idx="5">
                  <c:v>406920.5</c:v>
                </c:pt>
                <c:pt idx="6">
                  <c:v>347489.7</c:v>
                </c:pt>
                <c:pt idx="7">
                  <c:v>462951.1</c:v>
                </c:pt>
                <c:pt idx="8">
                  <c:v>415767.6</c:v>
                </c:pt>
                <c:pt idx="9">
                  <c:v>307138.8</c:v>
                </c:pt>
                <c:pt idx="10">
                  <c:v>560053.1</c:v>
                </c:pt>
                <c:pt idx="11">
                  <c:v>513013.9</c:v>
                </c:pt>
              </c:numCache>
            </c:numRef>
          </c:val>
          <c:extLst>
            <c:ext xmlns:c16="http://schemas.microsoft.com/office/drawing/2014/chart" uri="{C3380CC4-5D6E-409C-BE32-E72D297353CC}">
              <c16:uniqueId val="{00000002-551B-B84C-B2DC-5DCFCBFCD4BD}"/>
            </c:ext>
          </c:extLst>
        </c:ser>
        <c:ser>
          <c:idx val="3"/>
          <c:order val="3"/>
          <c:tx>
            <c:strRef>
              <c:f>其它图表!$F$21</c:f>
              <c:strCache>
                <c:ptCount val="1"/>
                <c:pt idx="0">
                  <c:v>暖靴</c:v>
                </c:pt>
              </c:strCache>
            </c:strRef>
          </c:tx>
          <c:spPr>
            <a:solidFill>
              <a:schemeClr val="tx2">
                <a:lumMod val="50000"/>
                <a:alpha val="4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其它图表!$F$22:$F$33</c:f>
              <c:numCache>
                <c:formatCode>General</c:formatCode>
                <c:ptCount val="12"/>
                <c:pt idx="0">
                  <c:v>57118.2</c:v>
                </c:pt>
                <c:pt idx="1">
                  <c:v>282039.7</c:v>
                </c:pt>
                <c:pt idx="2">
                  <c:v>267860.3</c:v>
                </c:pt>
                <c:pt idx="3">
                  <c:v>152184.79999999999</c:v>
                </c:pt>
                <c:pt idx="4">
                  <c:v>392195.9</c:v>
                </c:pt>
                <c:pt idx="5">
                  <c:v>257433.1</c:v>
                </c:pt>
                <c:pt idx="6">
                  <c:v>234713</c:v>
                </c:pt>
                <c:pt idx="7">
                  <c:v>193999.3</c:v>
                </c:pt>
                <c:pt idx="8">
                  <c:v>336451.8</c:v>
                </c:pt>
                <c:pt idx="9">
                  <c:v>278499.7</c:v>
                </c:pt>
                <c:pt idx="10">
                  <c:v>786852.4</c:v>
                </c:pt>
                <c:pt idx="11">
                  <c:v>1019700.9</c:v>
                </c:pt>
              </c:numCache>
            </c:numRef>
          </c:val>
          <c:extLst>
            <c:ext xmlns:c16="http://schemas.microsoft.com/office/drawing/2014/chart" uri="{C3380CC4-5D6E-409C-BE32-E72D297353CC}">
              <c16:uniqueId val="{00000003-551B-B84C-B2DC-5DCFCBFCD4BD}"/>
            </c:ext>
          </c:extLst>
        </c:ser>
        <c:dLbls>
          <c:showLegendKey val="0"/>
          <c:showVal val="0"/>
          <c:showCatName val="0"/>
          <c:showSerName val="0"/>
          <c:showPercent val="0"/>
          <c:showBubbleSize val="0"/>
        </c:dLbls>
        <c:axId val="1808068415"/>
        <c:axId val="1807507327"/>
      </c:areaChart>
      <c:catAx>
        <c:axId val="18080684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7507327"/>
        <c:crosses val="autoZero"/>
        <c:auto val="1"/>
        <c:lblAlgn val="ctr"/>
        <c:lblOffset val="100"/>
        <c:noMultiLvlLbl val="0"/>
      </c:catAx>
      <c:valAx>
        <c:axId val="180750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806841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其它图表!$D$39</c:f>
              <c:strCache>
                <c:ptCount val="1"/>
                <c:pt idx="0">
                  <c:v>成长率（Y轴）</c:v>
                </c:pt>
              </c:strCache>
            </c:strRef>
          </c:tx>
          <c:spPr>
            <a:ln w="25400" cap="rnd">
              <a:noFill/>
              <a:round/>
            </a:ln>
            <a:effectLst/>
          </c:spPr>
          <c:marker>
            <c:symbol val="circle"/>
            <c:size val="30"/>
            <c:spPr>
              <a:solidFill>
                <a:srgbClr val="FFC000"/>
              </a:solidFill>
              <a:ln w="9525">
                <a:noFill/>
              </a:ln>
              <a:effectLst/>
            </c:spPr>
          </c:marker>
          <c:dLbls>
            <c:dLbl>
              <c:idx val="0"/>
              <c:tx>
                <c:rich>
                  <a:bodyPr/>
                  <a:lstStyle/>
                  <a:p>
                    <a:fld id="{44F9B5B0-FA78-544A-AD97-21096E09540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B1-F247-97AE-A38D35841512}"/>
                </c:ext>
              </c:extLst>
            </c:dLbl>
            <c:dLbl>
              <c:idx val="1"/>
              <c:tx>
                <c:rich>
                  <a:bodyPr/>
                  <a:lstStyle/>
                  <a:p>
                    <a:fld id="{C9593814-8CB9-6F4F-B06A-35C2563A65D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6B1-F247-97AE-A38D35841512}"/>
                </c:ext>
              </c:extLst>
            </c:dLbl>
            <c:dLbl>
              <c:idx val="2"/>
              <c:tx>
                <c:rich>
                  <a:bodyPr/>
                  <a:lstStyle/>
                  <a:p>
                    <a:fld id="{2D28E229-844A-1249-9EC7-C934A947414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6B1-F247-97AE-A38D35841512}"/>
                </c:ext>
              </c:extLst>
            </c:dLbl>
            <c:dLbl>
              <c:idx val="3"/>
              <c:tx>
                <c:rich>
                  <a:bodyPr/>
                  <a:lstStyle/>
                  <a:p>
                    <a:fld id="{C2A9B610-73D3-C347-8F4F-A9D17822DA21}"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6B1-F247-97AE-A38D35841512}"/>
                </c:ext>
              </c:extLst>
            </c:dLbl>
            <c:dLbl>
              <c:idx val="4"/>
              <c:tx>
                <c:rich>
                  <a:bodyPr/>
                  <a:lstStyle/>
                  <a:p>
                    <a:fld id="{23EB547F-5C45-C845-85F9-5B8B313F0E2F}"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6B1-F247-97AE-A38D35841512}"/>
                </c:ext>
              </c:extLst>
            </c:dLbl>
            <c:dLbl>
              <c:idx val="5"/>
              <c:tx>
                <c:rich>
                  <a:bodyPr/>
                  <a:lstStyle/>
                  <a:p>
                    <a:fld id="{21714C68-5A1F-974F-AD76-2482C0127B8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16B1-F247-97AE-A38D35841512}"/>
                </c:ext>
              </c:extLst>
            </c:dLbl>
            <c:dLbl>
              <c:idx val="6"/>
              <c:tx>
                <c:rich>
                  <a:bodyPr/>
                  <a:lstStyle/>
                  <a:p>
                    <a:fld id="{75144A0E-E7BE-5743-B04A-D2B9D165B857}"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16B1-F247-97AE-A38D35841512}"/>
                </c:ext>
              </c:extLst>
            </c:dLbl>
            <c:dLbl>
              <c:idx val="7"/>
              <c:tx>
                <c:rich>
                  <a:bodyPr/>
                  <a:lstStyle/>
                  <a:p>
                    <a:fld id="{18561327-5D21-4241-9C43-49F211E7BCC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16B1-F247-97AE-A38D3584151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其它图表!$C$40:$C$47</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其它图表!$D$40:$D$47</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其它图表!$B$40:$B$47</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8-16B1-F247-97AE-A38D35841512}"/>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extLst>
              <a:ext uri="{96DAC541-7B7A-43D3-8B79-37D633B846F1}">
                <asvg:svgBlip xmlns:asvg="http://schemas.microsoft.com/office/drawing/2016/SVG/main" r:embed="rId4"/>
              </a:ext>
            </a:extLst>
          </a:blip>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5"/>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其它图表!$B$63</c:f>
              <c:strCache>
                <c:ptCount val="1"/>
                <c:pt idx="0">
                  <c:v>A员工</c:v>
                </c:pt>
              </c:strCache>
            </c:strRef>
          </c:tx>
          <c:spPr>
            <a:solidFill>
              <a:schemeClr val="tx2">
                <a:lumMod val="5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其它图表!$C$63:$G$63</c:f>
              <c:numCache>
                <c:formatCode>General</c:formatCode>
                <c:ptCount val="5"/>
                <c:pt idx="0">
                  <c:v>90</c:v>
                </c:pt>
                <c:pt idx="1">
                  <c:v>90</c:v>
                </c:pt>
                <c:pt idx="2">
                  <c:v>90</c:v>
                </c:pt>
                <c:pt idx="3">
                  <c:v>12</c:v>
                </c:pt>
                <c:pt idx="4">
                  <c:v>6</c:v>
                </c:pt>
              </c:numCache>
            </c:numRef>
          </c:val>
          <c:extLst>
            <c:ext xmlns:c16="http://schemas.microsoft.com/office/drawing/2014/chart" uri="{C3380CC4-5D6E-409C-BE32-E72D297353CC}">
              <c16:uniqueId val="{00000000-605E-804D-B860-3161744791C1}"/>
            </c:ext>
          </c:extLst>
        </c:ser>
        <c:ser>
          <c:idx val="1"/>
          <c:order val="1"/>
          <c:tx>
            <c:strRef>
              <c:f>其它图表!$B$64</c:f>
              <c:strCache>
                <c:ptCount val="1"/>
                <c:pt idx="0">
                  <c:v>B员工</c:v>
                </c:pt>
              </c:strCache>
            </c:strRef>
          </c:tx>
          <c:spPr>
            <a:solidFill>
              <a:schemeClr val="tx2">
                <a:lumMod val="20000"/>
                <a:lumOff val="8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其它图表!$C$64:$G$64</c:f>
              <c:numCache>
                <c:formatCode>General</c:formatCode>
                <c:ptCount val="5"/>
                <c:pt idx="0">
                  <c:v>50</c:v>
                </c:pt>
                <c:pt idx="1">
                  <c:v>80</c:v>
                </c:pt>
                <c:pt idx="2">
                  <c:v>85</c:v>
                </c:pt>
                <c:pt idx="3">
                  <c:v>11</c:v>
                </c:pt>
                <c:pt idx="4">
                  <c:v>4</c:v>
                </c:pt>
              </c:numCache>
            </c:numRef>
          </c:val>
          <c:extLst>
            <c:ext xmlns:c16="http://schemas.microsoft.com/office/drawing/2014/chart" uri="{C3380CC4-5D6E-409C-BE32-E72D297353CC}">
              <c16:uniqueId val="{00000001-605E-804D-B860-3161744791C1}"/>
            </c:ext>
          </c:extLst>
        </c:ser>
        <c:dLbls>
          <c:showLegendKey val="0"/>
          <c:showVal val="0"/>
          <c:showCatName val="0"/>
          <c:showSerName val="0"/>
          <c:showPercent val="0"/>
          <c:showBubbleSize val="0"/>
        </c:dLbls>
        <c:axId val="1889358207"/>
        <c:axId val="1889355967"/>
      </c:radarChart>
      <c:catAx>
        <c:axId val="188935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CN"/>
          </a:p>
        </c:txPr>
        <c:crossAx val="1889355967"/>
        <c:crosses val="autoZero"/>
        <c:auto val="1"/>
        <c:lblAlgn val="ctr"/>
        <c:lblOffset val="100"/>
        <c:noMultiLvlLbl val="0"/>
      </c:catAx>
      <c:valAx>
        <c:axId val="18893559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89358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00000000-8AB7-A94C-8831-50B1B396E1F1}">
          <cx:tx>
            <cx:txData>
              <cx:f>_xlchart.v1.1</cx:f>
              <cx:v>求和项:金额</cx:v>
            </cx:txData>
          </cx:tx>
          <cx:dataPt idx="0">
            <cx:spPr>
              <a:solidFill>
                <a:srgbClr val="4F81BD">
                  <a:lumMod val="50000"/>
                </a:srgbClr>
              </a:solidFill>
            </cx:spPr>
          </cx:dataPt>
          <cx:dataPt idx="7">
            <cx:spPr>
              <a:solidFill>
                <a:srgbClr val="C0504D">
                  <a:lumMod val="60000"/>
                  <a:lumOff val="40000"/>
                </a:srgbClr>
              </a:solidFill>
            </cx:spPr>
          </cx:dataPt>
          <cx:dataPt idx="19">
            <cx:spPr>
              <a:solidFill>
                <a:srgbClr val="1F497D">
                  <a:lumMod val="60000"/>
                  <a:lumOff val="40000"/>
                </a:srgbClr>
              </a:solidFill>
            </cx:spPr>
          </cx:dataPt>
          <cx:dataPt idx="26">
            <cx:spPr>
              <a:solidFill>
                <a:srgbClr val="F79646">
                  <a:lumMod val="60000"/>
                  <a:lumOff val="40000"/>
                </a:srgbClr>
              </a:solidFill>
            </cx:spPr>
          </cx:dataPt>
          <cx:dataLabels pos="inEnd">
            <cx:visibility seriesName="0" categoryName="1" value="0"/>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val="87"/>
</file>

<file path=xl/ctrlProps/ctrlProp11.xml><?xml version="1.0" encoding="utf-8"?>
<formControlPr xmlns="http://schemas.microsoft.com/office/spreadsheetml/2009/9/main" objectType="Scroll" dx="15" fmlaLink="$B$41" horiz="1" max="70" min="40" page="10" val="52"/>
</file>

<file path=xl/ctrlProps/ctrlProp12.xml><?xml version="1.0" encoding="utf-8"?>
<formControlPr xmlns="http://schemas.microsoft.com/office/spreadsheetml/2009/9/main" objectType="Scroll" dx="15" fmlaLink="$B$42" horiz="1" max="100" min="70" page="10" val="87"/>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microsoft.com/office/2014/relationships/chartEx" Target="../charts/chartEx1.xml"/><Relationship Id="rId4" Type="http://schemas.openxmlformats.org/officeDocument/2006/relationships/chart" Target="../charts/chart2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10583</xdr:colOff>
      <xdr:row>0</xdr:row>
      <xdr:rowOff>0</xdr:rowOff>
    </xdr:from>
    <xdr:to>
      <xdr:col>12</xdr:col>
      <xdr:colOff>772583</xdr:colOff>
      <xdr:row>17</xdr:row>
      <xdr:rowOff>159808</xdr:rowOff>
    </xdr:to>
    <xdr:graphicFrame macro="">
      <xdr:nvGraphicFramePr>
        <xdr:cNvPr id="2" name="图表 1">
          <a:extLst>
            <a:ext uri="{FF2B5EF4-FFF2-40B4-BE49-F238E27FC236}">
              <a16:creationId xmlns:a16="http://schemas.microsoft.com/office/drawing/2014/main" id="{57629B8F-E4E8-A34F-879B-043AFDF0C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21167</xdr:colOff>
      <xdr:row>17</xdr:row>
      <xdr:rowOff>184149</xdr:rowOff>
    </xdr:from>
    <xdr:to>
      <xdr:col>12</xdr:col>
      <xdr:colOff>762000</xdr:colOff>
      <xdr:row>37</xdr:row>
      <xdr:rowOff>63499</xdr:rowOff>
    </xdr:to>
    <xdr:graphicFrame macro="">
      <xdr:nvGraphicFramePr>
        <xdr:cNvPr id="3" name="图表 2">
          <a:extLst>
            <a:ext uri="{FF2B5EF4-FFF2-40B4-BE49-F238E27FC236}">
              <a16:creationId xmlns:a16="http://schemas.microsoft.com/office/drawing/2014/main" id="{1FB46F2F-72D1-385F-D57B-62DDD013C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10</xdr:col>
          <xdr:colOff>6350</xdr:colOff>
          <xdr:row>39</xdr:row>
          <xdr:rowOff>14816</xdr:rowOff>
        </xdr:from>
        <xdr:to>
          <xdr:col>11</xdr:col>
          <xdr:colOff>819150</xdr:colOff>
          <xdr:row>42</xdr:row>
          <xdr:rowOff>21166</xdr:rowOff>
        </xdr:to>
        <xdr:grpSp>
          <xdr:nvGrpSpPr>
            <xdr:cNvPr id="5" name="组合 4">
              <a:extLst>
                <a:ext uri="{FF2B5EF4-FFF2-40B4-BE49-F238E27FC236}">
                  <a16:creationId xmlns:a16="http://schemas.microsoft.com/office/drawing/2014/main" id="{7C26DF89-44FE-51ED-E362-61F1A7662C95}"/>
                </a:ext>
              </a:extLst>
            </xdr:cNvPr>
            <xdr:cNvGrpSpPr/>
          </xdr:nvGrpSpPr>
          <xdr:grpSpPr>
            <a:xfrm>
              <a:off x="8388350" y="7444316"/>
              <a:ext cx="1638300" cy="577850"/>
              <a:chOff x="4959350" y="7645400"/>
              <a:chExt cx="1638300" cy="577850"/>
            </a:xfrm>
          </xdr:grpSpPr>
          <xdr:sp macro="" textlink="">
            <xdr:nvSpPr>
              <xdr:cNvPr id="12289" name="Scroll Bar 1" hidden="1">
                <a:extLst>
                  <a:ext uri="{63B3BB69-23CF-44E3-9099-C40C66FF867C}">
                    <a14:compatExt spid="_x0000_s12289"/>
                  </a:ext>
                  <a:ext uri="{FF2B5EF4-FFF2-40B4-BE49-F238E27FC236}">
                    <a16:creationId xmlns:a16="http://schemas.microsoft.com/office/drawing/2014/main" id="{00000000-0008-0000-0500-000001300000}"/>
                  </a:ext>
                </a:extLst>
              </xdr:cNvPr>
              <xdr:cNvSpPr/>
            </xdr:nvSpPr>
            <xdr:spPr bwMode="auto">
              <a:xfrm>
                <a:off x="4959350" y="7645400"/>
                <a:ext cx="1638300" cy="196850"/>
              </a:xfrm>
              <a:prstGeom prst="rect">
                <a:avLst/>
              </a:prstGeom>
              <a:noFill/>
              <a:ln w="9525">
                <a:miter lim="800000"/>
                <a:headEnd/>
                <a:tailEnd/>
              </a:ln>
            </xdr:spPr>
          </xdr:sp>
          <xdr:sp macro="" textlink="">
            <xdr:nvSpPr>
              <xdr:cNvPr id="12290" name="Scroll Bar 2" hidden="1">
                <a:extLst>
                  <a:ext uri="{63B3BB69-23CF-44E3-9099-C40C66FF867C}">
                    <a14:compatExt spid="_x0000_s12290"/>
                  </a:ext>
                  <a:ext uri="{FF2B5EF4-FFF2-40B4-BE49-F238E27FC236}">
                    <a16:creationId xmlns:a16="http://schemas.microsoft.com/office/drawing/2014/main" id="{00000000-0008-0000-0500-000002300000}"/>
                  </a:ext>
                </a:extLst>
              </xdr:cNvPr>
              <xdr:cNvSpPr/>
            </xdr:nvSpPr>
            <xdr:spPr bwMode="auto">
              <a:xfrm>
                <a:off x="4959350" y="8020050"/>
                <a:ext cx="1638300" cy="203200"/>
              </a:xfrm>
              <a:prstGeom prst="rect">
                <a:avLst/>
              </a:prstGeom>
              <a:noFill/>
              <a:ln w="9525">
                <a:miter lim="800000"/>
                <a:headEnd/>
                <a:tailEnd/>
              </a:ln>
            </xdr:spPr>
          </xdr:sp>
        </xdr:grpSp>
        <xdr:clientData/>
      </xdr:twoCellAnchor>
    </mc:Choice>
    <mc:Fallback/>
  </mc:AlternateContent>
  <xdr:twoCellAnchor>
    <xdr:from>
      <xdr:col>4</xdr:col>
      <xdr:colOff>84665</xdr:colOff>
      <xdr:row>48</xdr:row>
      <xdr:rowOff>25401</xdr:rowOff>
    </xdr:from>
    <xdr:to>
      <xdr:col>11</xdr:col>
      <xdr:colOff>804331</xdr:colOff>
      <xdr:row>70</xdr:row>
      <xdr:rowOff>74085</xdr:rowOff>
    </xdr:to>
    <xdr:graphicFrame macro="">
      <xdr:nvGraphicFramePr>
        <xdr:cNvPr id="6" name="图表 5">
          <a:extLst>
            <a:ext uri="{FF2B5EF4-FFF2-40B4-BE49-F238E27FC236}">
              <a16:creationId xmlns:a16="http://schemas.microsoft.com/office/drawing/2014/main" id="{182A085C-2B1B-E67B-61B1-81CBADD8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12699</xdr:colOff>
      <xdr:row>0</xdr:row>
      <xdr:rowOff>16933</xdr:rowOff>
    </xdr:from>
    <xdr:to>
      <xdr:col>13</xdr:col>
      <xdr:colOff>518582</xdr:colOff>
      <xdr:row>20</xdr:row>
      <xdr:rowOff>4233</xdr:rowOff>
    </xdr:to>
    <xdr:graphicFrame macro="">
      <xdr:nvGraphicFramePr>
        <xdr:cNvPr id="2" name="图表 1">
          <a:extLst>
            <a:ext uri="{FF2B5EF4-FFF2-40B4-BE49-F238E27FC236}">
              <a16:creationId xmlns:a16="http://schemas.microsoft.com/office/drawing/2014/main" id="{00CD114C-3EE2-420A-CFF8-791B717892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8467</xdr:colOff>
      <xdr:row>20</xdr:row>
      <xdr:rowOff>14816</xdr:rowOff>
    </xdr:from>
    <xdr:to>
      <xdr:col>13</xdr:col>
      <xdr:colOff>522817</xdr:colOff>
      <xdr:row>40</xdr:row>
      <xdr:rowOff>179916</xdr:rowOff>
    </xdr:to>
    <xdr:graphicFrame macro="">
      <xdr:nvGraphicFramePr>
        <xdr:cNvPr id="3" name="图表 2">
          <a:extLst>
            <a:ext uri="{FF2B5EF4-FFF2-40B4-BE49-F238E27FC236}">
              <a16:creationId xmlns:a16="http://schemas.microsoft.com/office/drawing/2014/main" id="{CAF5D0E4-7F23-C949-8A26-2C82384C9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5291</xdr:colOff>
      <xdr:row>40</xdr:row>
      <xdr:rowOff>184149</xdr:rowOff>
    </xdr:from>
    <xdr:to>
      <xdr:col>13</xdr:col>
      <xdr:colOff>518583</xdr:colOff>
      <xdr:row>61</xdr:row>
      <xdr:rowOff>190499</xdr:rowOff>
    </xdr:to>
    <xdr:graphicFrame macro="">
      <xdr:nvGraphicFramePr>
        <xdr:cNvPr id="7" name="图表 6">
          <a:extLst>
            <a:ext uri="{FF2B5EF4-FFF2-40B4-BE49-F238E27FC236}">
              <a16:creationId xmlns:a16="http://schemas.microsoft.com/office/drawing/2014/main" id="{0E049793-88DA-0B65-6DF0-7F2DF6939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10582</xdr:colOff>
      <xdr:row>0</xdr:row>
      <xdr:rowOff>42333</xdr:rowOff>
    </xdr:from>
    <xdr:to>
      <xdr:col>12</xdr:col>
      <xdr:colOff>825499</xdr:colOff>
      <xdr:row>18</xdr:row>
      <xdr:rowOff>101599</xdr:rowOff>
    </xdr:to>
    <xdr:graphicFrame macro="">
      <xdr:nvGraphicFramePr>
        <xdr:cNvPr id="2" name="图表 1">
          <a:extLst>
            <a:ext uri="{FF2B5EF4-FFF2-40B4-BE49-F238E27FC236}">
              <a16:creationId xmlns:a16="http://schemas.microsoft.com/office/drawing/2014/main" id="{5F9CF188-2A6C-5DCA-5D4C-E7197C465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820208</xdr:colOff>
      <xdr:row>18</xdr:row>
      <xdr:rowOff>110065</xdr:rowOff>
    </xdr:from>
    <xdr:to>
      <xdr:col>13</xdr:col>
      <xdr:colOff>21167</xdr:colOff>
      <xdr:row>36</xdr:row>
      <xdr:rowOff>42332</xdr:rowOff>
    </xdr:to>
    <xdr:graphicFrame macro="">
      <xdr:nvGraphicFramePr>
        <xdr:cNvPr id="3" name="图表 2">
          <a:extLst>
            <a:ext uri="{FF2B5EF4-FFF2-40B4-BE49-F238E27FC236}">
              <a16:creationId xmlns:a16="http://schemas.microsoft.com/office/drawing/2014/main" id="{96F7B3D8-DB4F-763E-B87F-F65ECFD8C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814916</xdr:colOff>
      <xdr:row>36</xdr:row>
      <xdr:rowOff>42333</xdr:rowOff>
    </xdr:from>
    <xdr:to>
      <xdr:col>13</xdr:col>
      <xdr:colOff>31751</xdr:colOff>
      <xdr:row>60</xdr:row>
      <xdr:rowOff>53974</xdr:rowOff>
    </xdr:to>
    <xdr:graphicFrame macro="">
      <xdr:nvGraphicFramePr>
        <xdr:cNvPr id="4" name="图表 3">
          <a:extLst>
            <a:ext uri="{FF2B5EF4-FFF2-40B4-BE49-F238E27FC236}">
              <a16:creationId xmlns:a16="http://schemas.microsoft.com/office/drawing/2014/main" id="{1FC702F7-F846-5641-B6D3-9CCF13CEF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814916</xdr:colOff>
      <xdr:row>60</xdr:row>
      <xdr:rowOff>53974</xdr:rowOff>
    </xdr:from>
    <xdr:to>
      <xdr:col>13</xdr:col>
      <xdr:colOff>31751</xdr:colOff>
      <xdr:row>80</xdr:row>
      <xdr:rowOff>49741</xdr:rowOff>
    </xdr:to>
    <xdr:graphicFrame macro="">
      <xdr:nvGraphicFramePr>
        <xdr:cNvPr id="11" name="图表 10">
          <a:extLst>
            <a:ext uri="{FF2B5EF4-FFF2-40B4-BE49-F238E27FC236}">
              <a16:creationId xmlns:a16="http://schemas.microsoft.com/office/drawing/2014/main" id="{90D5AB3D-243B-BACF-5EFF-90F8EB19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814915</xdr:colOff>
      <xdr:row>80</xdr:row>
      <xdr:rowOff>49741</xdr:rowOff>
    </xdr:from>
    <xdr:to>
      <xdr:col>13</xdr:col>
      <xdr:colOff>31750</xdr:colOff>
      <xdr:row>109</xdr:row>
      <xdr:rowOff>49741</xdr:rowOff>
    </xdr:to>
    <mc:AlternateContent xmlns:mc="http://schemas.openxmlformats.org/markup-compatibility/2006">
      <mc:Choice xmlns:cx1="http://schemas.microsoft.com/office/drawing/2015/9/8/chartex" Requires="cx1">
        <xdr:graphicFrame macro="">
          <xdr:nvGraphicFramePr>
            <xdr:cNvPr id="13" name="图表 12">
              <a:extLst>
                <a:ext uri="{FF2B5EF4-FFF2-40B4-BE49-F238E27FC236}">
                  <a16:creationId xmlns:a16="http://schemas.microsoft.com/office/drawing/2014/main" id="{F2BCBCEE-5457-F720-1EE9-991CBAD4D2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869515" y="15289741"/>
              <a:ext cx="4995335" cy="5524500"/>
            </a:xfrm>
            <a:prstGeom prst="rect">
              <a:avLst/>
            </a:prstGeom>
            <a:solidFill>
              <a:prstClr val="white"/>
            </a:solidFill>
            <a:ln w="1">
              <a:solidFill>
                <a:prstClr val="green"/>
              </a:solidFill>
            </a:ln>
          </xdr:spPr>
          <xdr:txBody>
            <a:bodyPr vertOverflow="clip" horzOverflow="clip"/>
            <a:lstStyle/>
            <a:p>
              <a:r>
                <a:rPr lang="zh-CN" altLang="en-US" sz="1100"/>
                <a:t>此图表在您的 Excel 版本中不可用。
编辑此形状或将此工作簿转换为其他文件格式将永久破坏图表。</a:t>
              </a:r>
            </a:p>
          </xdr:txBody>
        </xdr:sp>
      </mc:Fallback>
    </mc:AlternateContent>
    <xdr:clientData/>
  </xdr:twoCellAnchor>
</xdr:wsDr>
</file>

<file path=xl/drawings/drawing8.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9.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1.xml"/><Relationship Id="rId2" Type="http://schemas.openxmlformats.org/officeDocument/2006/relationships/vmlDrawing" Target="../drawings/vmlDrawing2.vml"/><Relationship Id="rId1" Type="http://schemas.openxmlformats.org/officeDocument/2006/relationships/drawing" Target="../drawings/drawing5.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5"/>
  <sheetViews>
    <sheetView zoomScale="150" zoomScaleNormal="150" workbookViewId="0">
      <selection activeCell="G12" sqref="G12"/>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296</v>
      </c>
    </row>
    <row r="5" spans="1:7" s="3" customFormat="1" ht="14">
      <c r="B5" s="9" t="s">
        <v>297</v>
      </c>
    </row>
    <row r="6" spans="1:7" s="3" customFormat="1" ht="14">
      <c r="C6" s="9" t="s">
        <v>2</v>
      </c>
    </row>
    <row r="7" spans="1:7" s="3" customFormat="1" ht="14">
      <c r="C7" s="9" t="s">
        <v>3</v>
      </c>
    </row>
    <row r="8" spans="1:7" s="3" customFormat="1" ht="14"/>
    <row r="9" spans="1:7" s="3" customFormat="1" ht="14">
      <c r="A9" s="3" t="s">
        <v>1</v>
      </c>
      <c r="B9" s="6" t="s">
        <v>5</v>
      </c>
    </row>
    <row r="10" spans="1:7" s="3" customFormat="1" ht="14">
      <c r="B10" s="7"/>
    </row>
    <row r="11" spans="1:7" s="3" customFormat="1" ht="14">
      <c r="B11" s="3" t="s">
        <v>4</v>
      </c>
    </row>
    <row r="12" spans="1:7" s="3" customFormat="1" ht="14">
      <c r="C12" s="9" t="s">
        <v>7</v>
      </c>
      <c r="D12" s="9"/>
    </row>
    <row r="13" spans="1:7" s="3" customFormat="1" ht="14">
      <c r="B13" s="8"/>
      <c r="C13" s="9" t="s">
        <v>6</v>
      </c>
      <c r="D13" s="9"/>
    </row>
    <row r="14" spans="1:7" s="3" customFormat="1" ht="14">
      <c r="C14" s="9" t="s">
        <v>8</v>
      </c>
      <c r="D14" s="9" t="s">
        <v>12</v>
      </c>
    </row>
    <row r="15" spans="1:7" s="3" customFormat="1">
      <c r="B15" s="8"/>
      <c r="C15" s="9" t="s">
        <v>9</v>
      </c>
      <c r="D15" s="9" t="s">
        <v>13</v>
      </c>
      <c r="G15" s="5"/>
    </row>
    <row r="16" spans="1:7" s="3" customFormat="1">
      <c r="B16" s="8"/>
      <c r="C16" s="9" t="s">
        <v>10</v>
      </c>
      <c r="D16" s="9" t="s">
        <v>14</v>
      </c>
      <c r="G16" s="5"/>
    </row>
    <row r="17" spans="1:7" s="3" customFormat="1">
      <c r="B17" s="8"/>
      <c r="C17" s="9" t="s">
        <v>11</v>
      </c>
      <c r="D17" s="9" t="s">
        <v>17</v>
      </c>
      <c r="G17" s="5"/>
    </row>
    <row r="18" spans="1:7" s="3" customFormat="1">
      <c r="B18" s="8"/>
      <c r="C18" s="9" t="s">
        <v>15</v>
      </c>
      <c r="D18" s="9" t="s">
        <v>16</v>
      </c>
      <c r="G18" s="5"/>
    </row>
    <row r="19" spans="1:7" s="3" customFormat="1">
      <c r="B19" s="8"/>
      <c r="C19" s="9" t="s">
        <v>24</v>
      </c>
      <c r="D19" s="9"/>
      <c r="G19" s="5"/>
    </row>
    <row r="20" spans="1:7" s="3" customFormat="1">
      <c r="B20" s="8"/>
      <c r="C20" s="4"/>
      <c r="G20" s="5"/>
    </row>
    <row r="21" spans="1:7" s="3" customFormat="1" ht="14">
      <c r="B21" s="3" t="s">
        <v>18</v>
      </c>
      <c r="C21" s="4"/>
    </row>
    <row r="22" spans="1:7" s="3" customFormat="1" ht="14">
      <c r="C22" s="9" t="s">
        <v>21</v>
      </c>
    </row>
    <row r="23" spans="1:7" s="3" customFormat="1" ht="14">
      <c r="B23" s="7"/>
      <c r="C23" s="9" t="s">
        <v>22</v>
      </c>
    </row>
    <row r="24" spans="1:7" s="3" customFormat="1" ht="14">
      <c r="C24" s="9" t="s">
        <v>23</v>
      </c>
    </row>
    <row r="25" spans="1:7" s="3" customFormat="1" ht="14">
      <c r="B25" s="8"/>
    </row>
    <row r="26" spans="1:7" s="3" customFormat="1" ht="14">
      <c r="A26" s="3" t="s">
        <v>101</v>
      </c>
      <c r="B26" s="24" t="s">
        <v>298</v>
      </c>
    </row>
    <row r="28" spans="1:7" s="3" customFormat="1" ht="14">
      <c r="B28" s="3" t="s">
        <v>102</v>
      </c>
    </row>
    <row r="29" spans="1:7" s="3" customFormat="1" ht="14">
      <c r="C29" s="25" t="s">
        <v>108</v>
      </c>
    </row>
    <row r="30" spans="1:7" s="3" customFormat="1" ht="14">
      <c r="C30" s="25"/>
      <c r="D30" s="25" t="s">
        <v>110</v>
      </c>
    </row>
    <row r="31" spans="1:7" s="3" customFormat="1" ht="14">
      <c r="C31" s="25"/>
      <c r="D31" s="25" t="s">
        <v>111</v>
      </c>
    </row>
    <row r="32" spans="1:7" s="3" customFormat="1" ht="14">
      <c r="C32" s="25"/>
      <c r="D32" s="18" t="s">
        <v>25</v>
      </c>
    </row>
    <row r="33" spans="1:8" s="3" customFormat="1" ht="14">
      <c r="C33" s="25"/>
      <c r="D33" s="25"/>
    </row>
    <row r="34" spans="1:8" s="3" customFormat="1" ht="14">
      <c r="C34" s="25" t="s">
        <v>109</v>
      </c>
    </row>
    <row r="35" spans="1:8" s="3" customFormat="1" ht="14">
      <c r="C35" s="25"/>
      <c r="D35" s="25" t="s">
        <v>112</v>
      </c>
    </row>
    <row r="36" spans="1:8" s="3" customFormat="1" ht="14">
      <c r="C36" s="25"/>
      <c r="D36" s="25" t="s">
        <v>113</v>
      </c>
    </row>
    <row r="37" spans="1:8" s="3" customFormat="1" ht="14">
      <c r="C37" s="25"/>
    </row>
    <row r="38" spans="1:8" s="3" customFormat="1" ht="14">
      <c r="C38" s="25" t="s">
        <v>154</v>
      </c>
    </row>
    <row r="39" spans="1:8" s="3" customFormat="1" ht="14">
      <c r="D39" s="25" t="s">
        <v>114</v>
      </c>
    </row>
    <row r="40" spans="1:8" s="3" customFormat="1" ht="14">
      <c r="D40" s="25" t="s">
        <v>129</v>
      </c>
    </row>
    <row r="41" spans="1:8" s="3" customFormat="1" ht="14">
      <c r="D41" s="25" t="s">
        <v>127</v>
      </c>
    </row>
    <row r="42" spans="1:8" s="3" customFormat="1" ht="14">
      <c r="D42" s="25" t="s">
        <v>128</v>
      </c>
    </row>
    <row r="43" spans="1:8" s="3" customFormat="1" ht="14">
      <c r="D43" s="25"/>
    </row>
    <row r="44" spans="1:8" s="3" customFormat="1" ht="14">
      <c r="D44" s="25" t="s">
        <v>130</v>
      </c>
    </row>
    <row r="45" spans="1:8">
      <c r="C45" s="3"/>
      <c r="D45" s="25" t="s">
        <v>131</v>
      </c>
      <c r="E45" s="3"/>
      <c r="F45" s="3"/>
      <c r="G45" s="3"/>
      <c r="H45" s="3"/>
    </row>
    <row r="46" spans="1:8">
      <c r="C46" s="3"/>
      <c r="D46" s="3"/>
      <c r="E46" s="3"/>
      <c r="F46" s="3"/>
      <c r="G46" s="3"/>
      <c r="H46" s="3"/>
    </row>
    <row r="47" spans="1:8">
      <c r="A47" s="3"/>
      <c r="B47" s="3" t="s">
        <v>103</v>
      </c>
      <c r="C47" s="3"/>
      <c r="D47" s="3"/>
      <c r="E47" s="3"/>
      <c r="F47" s="3"/>
      <c r="G47" s="3"/>
      <c r="H47" s="3"/>
    </row>
    <row r="48" spans="1:8">
      <c r="A48" s="3"/>
      <c r="C48" s="25" t="s">
        <v>153</v>
      </c>
      <c r="D48" s="3"/>
      <c r="E48" s="3"/>
      <c r="F48" s="3"/>
      <c r="G48" s="3"/>
      <c r="H48" s="3"/>
    </row>
    <row r="49" spans="1:8">
      <c r="A49" s="3"/>
      <c r="C49" s="25" t="s">
        <v>174</v>
      </c>
      <c r="D49" s="3"/>
      <c r="E49" s="3"/>
      <c r="F49" s="3"/>
      <c r="G49" s="3"/>
      <c r="H49" s="3"/>
    </row>
    <row r="50" spans="1:8">
      <c r="A50" s="3"/>
      <c r="C50" s="25" t="s">
        <v>173</v>
      </c>
      <c r="D50" s="3"/>
      <c r="E50" s="3"/>
      <c r="F50" s="3"/>
      <c r="G50" s="3"/>
      <c r="H50" s="3"/>
    </row>
    <row r="51" spans="1:8">
      <c r="A51" s="3"/>
      <c r="C51" s="25" t="s">
        <v>175</v>
      </c>
      <c r="D51" s="3"/>
      <c r="E51" s="3"/>
      <c r="F51" s="3"/>
      <c r="G51" s="3"/>
      <c r="H51" s="3"/>
    </row>
    <row r="52" spans="1:8">
      <c r="A52" s="3"/>
      <c r="C52" s="25"/>
      <c r="D52" s="3"/>
      <c r="E52" s="3"/>
      <c r="F52" s="3"/>
      <c r="G52" s="3"/>
      <c r="H52" s="3"/>
    </row>
    <row r="53" spans="1:8">
      <c r="A53" s="3"/>
      <c r="B53" s="3" t="s">
        <v>104</v>
      </c>
      <c r="C53" s="3"/>
      <c r="D53" s="3"/>
      <c r="E53" s="3"/>
      <c r="F53" s="3"/>
      <c r="G53" s="5"/>
      <c r="H53" s="3"/>
    </row>
    <row r="54" spans="1:8">
      <c r="A54" s="3"/>
      <c r="B54" s="3"/>
      <c r="C54" s="25" t="s">
        <v>176</v>
      </c>
      <c r="D54" s="3"/>
      <c r="E54" s="3"/>
      <c r="F54" s="3"/>
      <c r="G54" s="5"/>
      <c r="H54" s="3"/>
    </row>
    <row r="55" spans="1:8">
      <c r="A55" s="3"/>
      <c r="B55" s="3"/>
      <c r="C55" s="3"/>
      <c r="D55" s="3"/>
      <c r="E55" s="3"/>
      <c r="F55" s="3"/>
      <c r="G55" s="5"/>
      <c r="H55" s="3"/>
    </row>
    <row r="56" spans="1:8">
      <c r="A56" s="3"/>
      <c r="B56" s="3" t="s">
        <v>105</v>
      </c>
      <c r="C56" s="3"/>
      <c r="D56" s="3"/>
      <c r="E56" s="3"/>
      <c r="F56" s="3"/>
      <c r="G56" s="5"/>
      <c r="H56" s="3"/>
    </row>
    <row r="57" spans="1:8">
      <c r="A57" s="3"/>
      <c r="B57" s="3"/>
      <c r="C57" s="25" t="s">
        <v>294</v>
      </c>
      <c r="D57" s="3"/>
      <c r="E57" s="3"/>
      <c r="F57" s="3"/>
      <c r="G57" s="5"/>
      <c r="H57" s="3"/>
    </row>
    <row r="58" spans="1:8">
      <c r="A58" s="3"/>
      <c r="B58" s="3"/>
      <c r="C58" s="25" t="s">
        <v>295</v>
      </c>
      <c r="D58" s="3"/>
      <c r="E58" s="3"/>
      <c r="F58" s="3"/>
      <c r="G58" s="5"/>
      <c r="H58" s="3"/>
    </row>
    <row r="59" spans="1:8">
      <c r="A59" s="3"/>
      <c r="B59" s="3"/>
      <c r="C59" s="25" t="s">
        <v>299</v>
      </c>
      <c r="D59" s="3"/>
      <c r="E59" s="3"/>
      <c r="F59" s="3"/>
      <c r="G59" s="5"/>
      <c r="H59" s="3"/>
    </row>
    <row r="60" spans="1:8">
      <c r="A60" s="3"/>
      <c r="B60" s="3"/>
      <c r="C60" s="25" t="s">
        <v>300</v>
      </c>
      <c r="D60" s="3"/>
      <c r="E60" s="3"/>
      <c r="F60" s="3"/>
      <c r="G60" s="5"/>
      <c r="H60" s="3"/>
    </row>
    <row r="61" spans="1:8">
      <c r="A61" s="3"/>
      <c r="B61" s="3"/>
      <c r="C61" s="3"/>
      <c r="D61" s="3"/>
      <c r="E61" s="3"/>
      <c r="F61" s="3"/>
      <c r="G61" s="3"/>
      <c r="H61" s="3"/>
    </row>
    <row r="62" spans="1:8">
      <c r="B62" s="3" t="s">
        <v>106</v>
      </c>
    </row>
    <row r="63" spans="1:8">
      <c r="B63" s="3"/>
      <c r="C63" s="25" t="s">
        <v>334</v>
      </c>
    </row>
    <row r="64" spans="1:8">
      <c r="B64" s="3"/>
    </row>
    <row r="65" spans="2:2">
      <c r="B65" s="3" t="s">
        <v>107</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topLeftCell="A74" zoomScale="120" zoomScaleNormal="120" workbookViewId="0">
      <selection activeCell="M13" sqref="M13"/>
    </sheetView>
  </sheetViews>
  <sheetFormatPr baseColWidth="10" defaultRowHeight="15"/>
  <sheetData>
    <row r="1" spans="1:4">
      <c r="A1" s="32" t="s">
        <v>26</v>
      </c>
      <c r="B1" s="35" t="s">
        <v>27</v>
      </c>
      <c r="C1" s="35" t="s">
        <v>28</v>
      </c>
    </row>
    <row r="2" spans="1:4">
      <c r="A2" s="36" t="s">
        <v>29</v>
      </c>
      <c r="B2" s="37">
        <v>30</v>
      </c>
      <c r="C2" s="37">
        <v>25</v>
      </c>
    </row>
    <row r="3" spans="1:4">
      <c r="A3" s="36" t="s">
        <v>30</v>
      </c>
      <c r="B3" s="37">
        <v>35</v>
      </c>
      <c r="C3" s="37">
        <v>30</v>
      </c>
    </row>
    <row r="4" spans="1:4">
      <c r="A4" s="36" t="s">
        <v>31</v>
      </c>
      <c r="B4" s="37">
        <v>28</v>
      </c>
      <c r="C4" s="37">
        <v>32</v>
      </c>
    </row>
    <row r="5" spans="1:4">
      <c r="A5" s="39"/>
      <c r="B5" s="40"/>
      <c r="C5" s="40"/>
    </row>
    <row r="6" spans="1:4">
      <c r="A6" s="41" t="s">
        <v>135</v>
      </c>
    </row>
    <row r="7" spans="1:4">
      <c r="A7" s="9" t="s">
        <v>132</v>
      </c>
    </row>
    <row r="8" spans="1:4">
      <c r="A8" s="9" t="s">
        <v>133</v>
      </c>
    </row>
    <row r="9" spans="1:4">
      <c r="A9" s="9" t="s">
        <v>134</v>
      </c>
    </row>
    <row r="16" spans="1:4">
      <c r="A16" s="32" t="s">
        <v>26</v>
      </c>
      <c r="B16" s="35" t="s">
        <v>27</v>
      </c>
      <c r="C16" s="35" t="s">
        <v>28</v>
      </c>
      <c r="D16" s="35" t="s">
        <v>40</v>
      </c>
    </row>
    <row r="17" spans="1:4">
      <c r="A17" s="36" t="s">
        <v>29</v>
      </c>
      <c r="B17" s="37">
        <v>30</v>
      </c>
      <c r="C17" s="37">
        <v>25</v>
      </c>
      <c r="D17" s="38">
        <v>0.53</v>
      </c>
    </row>
    <row r="18" spans="1:4">
      <c r="A18" s="36" t="s">
        <v>30</v>
      </c>
      <c r="B18" s="37">
        <v>35</v>
      </c>
      <c r="C18" s="37">
        <v>30</v>
      </c>
      <c r="D18" s="38">
        <v>0.6</v>
      </c>
    </row>
    <row r="19" spans="1:4">
      <c r="A19" s="36" t="s">
        <v>31</v>
      </c>
      <c r="B19" s="37">
        <v>28</v>
      </c>
      <c r="C19" s="37">
        <v>32</v>
      </c>
      <c r="D19" s="38">
        <v>0.47</v>
      </c>
    </row>
    <row r="20" spans="1:4">
      <c r="A20" s="36" t="s">
        <v>41</v>
      </c>
      <c r="B20" s="37">
        <v>33</v>
      </c>
      <c r="C20" s="37">
        <v>35</v>
      </c>
      <c r="D20" s="38">
        <v>0.55000000000000004</v>
      </c>
    </row>
    <row r="22" spans="1:4">
      <c r="A22" s="41" t="s">
        <v>138</v>
      </c>
    </row>
    <row r="23" spans="1:4">
      <c r="A23" s="18" t="s">
        <v>136</v>
      </c>
    </row>
    <row r="24" spans="1:4">
      <c r="A24" s="18" t="s">
        <v>137</v>
      </c>
    </row>
    <row r="31" spans="1:4">
      <c r="A31" s="29" t="s">
        <v>65</v>
      </c>
      <c r="B31" s="29" t="s">
        <v>66</v>
      </c>
      <c r="C31" s="29" t="s">
        <v>67</v>
      </c>
    </row>
    <row r="32" spans="1:4">
      <c r="A32" s="30" t="s">
        <v>68</v>
      </c>
      <c r="B32" s="30">
        <v>76</v>
      </c>
      <c r="C32" s="31">
        <v>0.85699999999999998</v>
      </c>
    </row>
    <row r="33" spans="1:3">
      <c r="A33" s="30" t="s">
        <v>69</v>
      </c>
      <c r="B33" s="30">
        <v>88</v>
      </c>
      <c r="C33" s="31">
        <v>0.89200000000000002</v>
      </c>
    </row>
    <row r="34" spans="1:3">
      <c r="A34" s="30" t="s">
        <v>70</v>
      </c>
      <c r="B34" s="30">
        <v>85</v>
      </c>
      <c r="C34" s="31">
        <v>0.86399999999999999</v>
      </c>
    </row>
    <row r="35" spans="1:3">
      <c r="A35" s="30" t="s">
        <v>71</v>
      </c>
      <c r="B35" s="30">
        <v>89</v>
      </c>
      <c r="C35" s="31">
        <v>0.95</v>
      </c>
    </row>
    <row r="36" spans="1:3">
      <c r="A36" s="30" t="s">
        <v>72</v>
      </c>
      <c r="B36" s="30">
        <v>88</v>
      </c>
      <c r="C36" s="31">
        <v>0.92600000000000005</v>
      </c>
    </row>
    <row r="38" spans="1:3">
      <c r="A38" s="9" t="s">
        <v>139</v>
      </c>
    </row>
    <row r="39" spans="1:3">
      <c r="A39" s="9" t="s">
        <v>140</v>
      </c>
    </row>
    <row r="40" spans="1:3">
      <c r="A40" s="9" t="s">
        <v>141</v>
      </c>
    </row>
    <row r="41" spans="1:3">
      <c r="A41" s="9" t="s">
        <v>142</v>
      </c>
    </row>
    <row r="42" spans="1:3">
      <c r="A42" s="9" t="s">
        <v>150</v>
      </c>
    </row>
    <row r="43" spans="1:3">
      <c r="A43" s="9" t="s">
        <v>149</v>
      </c>
    </row>
    <row r="55" spans="1:3">
      <c r="A55" s="32"/>
      <c r="B55" s="32" t="s">
        <v>73</v>
      </c>
      <c r="C55" s="32" t="s">
        <v>74</v>
      </c>
    </row>
    <row r="56" spans="1:3">
      <c r="A56" s="33" t="s">
        <v>75</v>
      </c>
      <c r="B56" s="34">
        <v>0.32</v>
      </c>
      <c r="C56" s="34">
        <f t="shared" ref="C56:C61" si="0">1-B56</f>
        <v>0.67999999999999994</v>
      </c>
    </row>
    <row r="57" spans="1:3">
      <c r="A57" s="33" t="s">
        <v>76</v>
      </c>
      <c r="B57" s="34">
        <v>0.55000000000000004</v>
      </c>
      <c r="C57" s="34">
        <f t="shared" si="0"/>
        <v>0.44999999999999996</v>
      </c>
    </row>
    <row r="58" spans="1:3">
      <c r="A58" s="33" t="s">
        <v>77</v>
      </c>
      <c r="B58" s="34">
        <v>0.6</v>
      </c>
      <c r="C58" s="34">
        <f t="shared" si="0"/>
        <v>0.4</v>
      </c>
    </row>
    <row r="59" spans="1:3">
      <c r="A59" s="33" t="s">
        <v>78</v>
      </c>
      <c r="B59" s="34">
        <v>0.73</v>
      </c>
      <c r="C59" s="34">
        <f t="shared" si="0"/>
        <v>0.27</v>
      </c>
    </row>
    <row r="60" spans="1:3">
      <c r="A60" s="33" t="s">
        <v>79</v>
      </c>
      <c r="B60" s="34">
        <v>0.82</v>
      </c>
      <c r="C60" s="34">
        <f t="shared" si="0"/>
        <v>0.18000000000000005</v>
      </c>
    </row>
    <row r="61" spans="1:3">
      <c r="A61" s="33" t="s">
        <v>80</v>
      </c>
      <c r="B61" s="34">
        <v>0.76</v>
      </c>
      <c r="C61" s="34">
        <f t="shared" si="0"/>
        <v>0.24</v>
      </c>
    </row>
    <row r="63" spans="1:3">
      <c r="A63" s="9" t="s">
        <v>143</v>
      </c>
    </row>
    <row r="64" spans="1:3">
      <c r="A64" s="9" t="s">
        <v>144</v>
      </c>
    </row>
    <row r="65" spans="1:3">
      <c r="A65" s="9" t="s">
        <v>145</v>
      </c>
    </row>
    <row r="66" spans="1:3">
      <c r="A66" s="9" t="s">
        <v>146</v>
      </c>
    </row>
    <row r="79" spans="1:3">
      <c r="A79" s="29" t="s">
        <v>65</v>
      </c>
      <c r="B79" s="29" t="s">
        <v>66</v>
      </c>
      <c r="C79" s="29" t="s">
        <v>67</v>
      </c>
    </row>
    <row r="80" spans="1:3">
      <c r="A80" s="30" t="s">
        <v>68</v>
      </c>
      <c r="B80" s="30">
        <v>76</v>
      </c>
      <c r="C80" s="31">
        <v>0.85699999999999998</v>
      </c>
    </row>
    <row r="81" spans="1:3">
      <c r="A81" s="30" t="s">
        <v>69</v>
      </c>
      <c r="B81" s="30">
        <v>88</v>
      </c>
      <c r="C81" s="31">
        <v>0.89200000000000002</v>
      </c>
    </row>
    <row r="82" spans="1:3">
      <c r="A82" s="30" t="s">
        <v>70</v>
      </c>
      <c r="B82" s="30">
        <v>85</v>
      </c>
      <c r="C82" s="31">
        <v>0.86399999999999999</v>
      </c>
    </row>
    <row r="83" spans="1:3">
      <c r="A83" s="30" t="s">
        <v>71</v>
      </c>
      <c r="B83" s="30">
        <v>89</v>
      </c>
      <c r="C83" s="31">
        <v>0.95</v>
      </c>
    </row>
    <row r="84" spans="1:3">
      <c r="A84" s="30" t="s">
        <v>72</v>
      </c>
      <c r="B84" s="30">
        <v>88</v>
      </c>
      <c r="C84" s="31">
        <v>0.92600000000000005</v>
      </c>
    </row>
    <row r="86" spans="1:3">
      <c r="A86" s="9" t="s">
        <v>147</v>
      </c>
    </row>
    <row r="87" spans="1:3">
      <c r="A87" s="9" t="s">
        <v>148</v>
      </c>
    </row>
    <row r="88" spans="1:3">
      <c r="A88" s="9" t="s">
        <v>151</v>
      </c>
    </row>
    <row r="89" spans="1:3">
      <c r="A89" s="9" t="s">
        <v>152</v>
      </c>
    </row>
    <row r="102" spans="1:3">
      <c r="A102" s="48" t="s">
        <v>65</v>
      </c>
      <c r="B102" s="48" t="s">
        <v>66</v>
      </c>
      <c r="C102" s="48" t="s">
        <v>67</v>
      </c>
    </row>
    <row r="103" spans="1:3">
      <c r="A103" s="49" t="s">
        <v>68</v>
      </c>
      <c r="B103" s="49">
        <v>76</v>
      </c>
      <c r="C103" s="50">
        <v>0.85699999999999998</v>
      </c>
    </row>
    <row r="104" spans="1:3">
      <c r="A104" s="49" t="s">
        <v>69</v>
      </c>
      <c r="B104" s="49">
        <v>88</v>
      </c>
      <c r="C104" s="50">
        <v>0.89200000000000002</v>
      </c>
    </row>
    <row r="105" spans="1:3">
      <c r="A105" s="49" t="s">
        <v>70</v>
      </c>
      <c r="B105" s="49">
        <v>85</v>
      </c>
      <c r="C105" s="50">
        <v>0.86399999999999999</v>
      </c>
    </row>
    <row r="106" spans="1:3">
      <c r="A106" s="49" t="s">
        <v>71</v>
      </c>
      <c r="B106" s="49">
        <v>89</v>
      </c>
      <c r="C106" s="50">
        <v>0.95</v>
      </c>
    </row>
    <row r="107" spans="1:3">
      <c r="A107" s="49" t="s">
        <v>72</v>
      </c>
      <c r="B107" s="49">
        <v>88</v>
      </c>
      <c r="C107" s="50">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topLeftCell="A56" zoomScale="120" zoomScaleNormal="120" workbookViewId="0">
      <selection activeCell="E43" sqref="E43"/>
    </sheetView>
  </sheetViews>
  <sheetFormatPr baseColWidth="10" defaultRowHeight="15"/>
  <sheetData>
    <row r="1" spans="1:5">
      <c r="A1" s="14" t="s">
        <v>45</v>
      </c>
      <c r="B1" s="14" t="s">
        <v>29</v>
      </c>
      <c r="C1" s="14" t="s">
        <v>30</v>
      </c>
      <c r="D1" s="14" t="s">
        <v>31</v>
      </c>
      <c r="E1" s="14" t="s">
        <v>54</v>
      </c>
    </row>
    <row r="2" spans="1:5">
      <c r="A2" s="16" t="s">
        <v>32</v>
      </c>
      <c r="B2" s="17">
        <v>158</v>
      </c>
      <c r="C2" s="17">
        <v>249</v>
      </c>
      <c r="D2" s="17">
        <v>82</v>
      </c>
      <c r="E2" s="17">
        <f t="shared" ref="E2:E10" si="0">SUM(B2:D2)</f>
        <v>489</v>
      </c>
    </row>
    <row r="3" spans="1:5">
      <c r="A3" s="16" t="s">
        <v>33</v>
      </c>
      <c r="B3" s="17">
        <v>75</v>
      </c>
      <c r="C3" s="17">
        <v>404</v>
      </c>
      <c r="D3" s="17">
        <v>270</v>
      </c>
      <c r="E3" s="17">
        <f t="shared" si="0"/>
        <v>749</v>
      </c>
    </row>
    <row r="4" spans="1:5">
      <c r="A4" s="16" t="s">
        <v>34</v>
      </c>
      <c r="B4" s="17">
        <v>141</v>
      </c>
      <c r="C4" s="17">
        <v>119</v>
      </c>
      <c r="D4" s="17">
        <v>226</v>
      </c>
      <c r="E4" s="17">
        <f t="shared" si="0"/>
        <v>486</v>
      </c>
    </row>
    <row r="5" spans="1:5">
      <c r="A5" s="16" t="s">
        <v>35</v>
      </c>
      <c r="B5" s="17">
        <v>39</v>
      </c>
      <c r="C5" s="17">
        <v>56</v>
      </c>
      <c r="D5" s="17">
        <v>52</v>
      </c>
      <c r="E5" s="17">
        <f t="shared" si="0"/>
        <v>147</v>
      </c>
    </row>
    <row r="6" spans="1:5">
      <c r="A6" s="16" t="s">
        <v>36</v>
      </c>
      <c r="B6" s="17">
        <v>33</v>
      </c>
      <c r="C6" s="17">
        <v>30</v>
      </c>
      <c r="D6" s="17">
        <v>56</v>
      </c>
      <c r="E6" s="17">
        <f t="shared" si="0"/>
        <v>119</v>
      </c>
    </row>
    <row r="7" spans="1:5">
      <c r="A7" s="16" t="s">
        <v>37</v>
      </c>
      <c r="B7" s="17">
        <v>108</v>
      </c>
      <c r="C7" s="17">
        <v>145</v>
      </c>
      <c r="D7" s="17">
        <v>63</v>
      </c>
      <c r="E7" s="17">
        <f t="shared" si="0"/>
        <v>316</v>
      </c>
    </row>
    <row r="8" spans="1:5">
      <c r="A8" s="16" t="s">
        <v>38</v>
      </c>
      <c r="B8" s="17">
        <v>138</v>
      </c>
      <c r="C8" s="17">
        <v>52</v>
      </c>
      <c r="D8" s="17">
        <v>91</v>
      </c>
      <c r="E8" s="17">
        <f t="shared" si="0"/>
        <v>281</v>
      </c>
    </row>
    <row r="9" spans="1:5">
      <c r="A9" s="16" t="s">
        <v>39</v>
      </c>
      <c r="B9" s="17">
        <v>56</v>
      </c>
      <c r="C9" s="17">
        <v>155</v>
      </c>
      <c r="D9" s="17">
        <v>185</v>
      </c>
      <c r="E9" s="17">
        <f t="shared" si="0"/>
        <v>396</v>
      </c>
    </row>
    <row r="10" spans="1:5">
      <c r="A10" s="16" t="s">
        <v>50</v>
      </c>
      <c r="B10" s="17">
        <v>99</v>
      </c>
      <c r="C10" s="17">
        <v>102</v>
      </c>
      <c r="D10" s="17">
        <v>105</v>
      </c>
      <c r="E10" s="17">
        <f t="shared" si="0"/>
        <v>306</v>
      </c>
    </row>
    <row r="12" spans="1:5">
      <c r="A12" s="41" t="s">
        <v>155</v>
      </c>
    </row>
    <row r="13" spans="1:5">
      <c r="A13" s="9" t="s">
        <v>156</v>
      </c>
    </row>
    <row r="14" spans="1:5">
      <c r="A14" s="9" t="s">
        <v>157</v>
      </c>
    </row>
    <row r="15" spans="1:5">
      <c r="A15" s="9" t="s">
        <v>158</v>
      </c>
    </row>
    <row r="17" spans="1:3">
      <c r="A17" s="9" t="s">
        <v>159</v>
      </c>
    </row>
    <row r="18" spans="1:3">
      <c r="A18" s="9" t="s">
        <v>160</v>
      </c>
    </row>
    <row r="19" spans="1:3">
      <c r="A19" s="9" t="s">
        <v>161</v>
      </c>
    </row>
    <row r="20" spans="1:3">
      <c r="A20" s="9" t="s">
        <v>162</v>
      </c>
    </row>
    <row r="30" spans="1:3">
      <c r="A30" s="32"/>
      <c r="B30" s="32" t="s">
        <v>56</v>
      </c>
      <c r="C30" s="32" t="s">
        <v>55</v>
      </c>
    </row>
    <row r="31" spans="1:3">
      <c r="A31" s="46" t="s">
        <v>57</v>
      </c>
      <c r="B31" s="47">
        <v>41760</v>
      </c>
      <c r="C31" s="46">
        <v>5</v>
      </c>
    </row>
    <row r="32" spans="1:3">
      <c r="A32" s="46" t="s">
        <v>58</v>
      </c>
      <c r="B32" s="47">
        <v>41763</v>
      </c>
      <c r="C32" s="46">
        <v>3</v>
      </c>
    </row>
    <row r="33" spans="1:5">
      <c r="A33" s="46" t="s">
        <v>59</v>
      </c>
      <c r="B33" s="47">
        <v>41765</v>
      </c>
      <c r="C33" s="46">
        <v>3</v>
      </c>
    </row>
    <row r="34" spans="1:5">
      <c r="A34" s="46" t="s">
        <v>60</v>
      </c>
      <c r="B34" s="47">
        <v>41767</v>
      </c>
      <c r="C34" s="46">
        <v>1</v>
      </c>
    </row>
    <row r="35" spans="1:5">
      <c r="A35" s="46" t="s">
        <v>61</v>
      </c>
      <c r="B35" s="47">
        <v>41768</v>
      </c>
      <c r="C35" s="46">
        <v>10</v>
      </c>
    </row>
    <row r="36" spans="1:5">
      <c r="A36" s="46" t="s">
        <v>62</v>
      </c>
      <c r="B36" s="47">
        <v>41778</v>
      </c>
      <c r="C36" s="46">
        <v>5</v>
      </c>
    </row>
    <row r="37" spans="1:5">
      <c r="A37" s="46" t="s">
        <v>63</v>
      </c>
      <c r="B37" s="47">
        <v>41782</v>
      </c>
      <c r="C37" s="46">
        <v>3</v>
      </c>
    </row>
    <row r="38" spans="1:5">
      <c r="A38" s="46" t="s">
        <v>64</v>
      </c>
      <c r="B38" s="47">
        <v>41785</v>
      </c>
      <c r="C38" s="46">
        <v>5</v>
      </c>
    </row>
    <row r="40" spans="1:5">
      <c r="A40" s="9" t="s">
        <v>163</v>
      </c>
    </row>
    <row r="41" spans="1:5">
      <c r="A41" s="9" t="s">
        <v>164</v>
      </c>
    </row>
    <row r="42" spans="1:5">
      <c r="A42" s="9" t="s">
        <v>165</v>
      </c>
    </row>
    <row r="43" spans="1:5">
      <c r="A43" s="9" t="s">
        <v>166</v>
      </c>
    </row>
    <row r="47" spans="1:5">
      <c r="A47" s="14" t="s">
        <v>45</v>
      </c>
      <c r="B47" s="14" t="s">
        <v>46</v>
      </c>
      <c r="C47" s="14" t="s">
        <v>47</v>
      </c>
      <c r="D47" s="14" t="s">
        <v>48</v>
      </c>
      <c r="E47" s="14" t="s">
        <v>49</v>
      </c>
    </row>
    <row r="48" spans="1:5">
      <c r="A48" s="16" t="s">
        <v>32</v>
      </c>
      <c r="B48" s="21">
        <v>382</v>
      </c>
      <c r="C48" s="22">
        <f t="shared" ref="C48:C59" si="1">MAX($B$48:$B$59)</f>
        <v>692</v>
      </c>
      <c r="D48" s="22">
        <f t="shared" ref="D48:D59" si="2">MIN($B$48:$B$59)</f>
        <v>220</v>
      </c>
      <c r="E48" s="22">
        <v>200</v>
      </c>
    </row>
    <row r="49" spans="1:5">
      <c r="A49" s="16" t="s">
        <v>33</v>
      </c>
      <c r="B49" s="23">
        <v>222</v>
      </c>
      <c r="C49" s="22">
        <f t="shared" si="1"/>
        <v>692</v>
      </c>
      <c r="D49" s="22">
        <f t="shared" si="2"/>
        <v>220</v>
      </c>
      <c r="E49" s="17" t="e">
        <f>NA()</f>
        <v>#N/A</v>
      </c>
    </row>
    <row r="50" spans="1:5">
      <c r="A50" s="16" t="s">
        <v>34</v>
      </c>
      <c r="B50" s="23">
        <v>507</v>
      </c>
      <c r="C50" s="22">
        <f t="shared" si="1"/>
        <v>692</v>
      </c>
      <c r="D50" s="22">
        <f t="shared" si="2"/>
        <v>220</v>
      </c>
      <c r="E50" s="17" t="e">
        <f>NA()</f>
        <v>#N/A</v>
      </c>
    </row>
    <row r="51" spans="1:5">
      <c r="A51" s="16" t="s">
        <v>35</v>
      </c>
      <c r="B51" s="23">
        <v>582</v>
      </c>
      <c r="C51" s="22">
        <f t="shared" si="1"/>
        <v>692</v>
      </c>
      <c r="D51" s="22">
        <f t="shared" si="2"/>
        <v>220</v>
      </c>
      <c r="E51" s="17" t="e">
        <f>NA()</f>
        <v>#N/A</v>
      </c>
    </row>
    <row r="52" spans="1:5">
      <c r="A52" s="16" t="s">
        <v>36</v>
      </c>
      <c r="B52" s="23">
        <v>401</v>
      </c>
      <c r="C52" s="22">
        <f t="shared" si="1"/>
        <v>692</v>
      </c>
      <c r="D52" s="22">
        <f t="shared" si="2"/>
        <v>220</v>
      </c>
      <c r="E52" s="17" t="e">
        <f>NA()</f>
        <v>#N/A</v>
      </c>
    </row>
    <row r="53" spans="1:5">
      <c r="A53" s="16" t="s">
        <v>37</v>
      </c>
      <c r="B53" s="23">
        <v>334</v>
      </c>
      <c r="C53" s="22">
        <f t="shared" si="1"/>
        <v>692</v>
      </c>
      <c r="D53" s="22">
        <f t="shared" si="2"/>
        <v>220</v>
      </c>
      <c r="E53" s="17" t="e">
        <f>NA()</f>
        <v>#N/A</v>
      </c>
    </row>
    <row r="54" spans="1:5">
      <c r="A54" s="16" t="s">
        <v>38</v>
      </c>
      <c r="B54" s="23">
        <v>510</v>
      </c>
      <c r="C54" s="22">
        <f t="shared" si="1"/>
        <v>692</v>
      </c>
      <c r="D54" s="22">
        <f t="shared" si="2"/>
        <v>220</v>
      </c>
      <c r="E54" s="17" t="e">
        <f>NA()</f>
        <v>#N/A</v>
      </c>
    </row>
    <row r="55" spans="1:5">
      <c r="A55" s="16" t="s">
        <v>39</v>
      </c>
      <c r="B55" s="23">
        <v>220</v>
      </c>
      <c r="C55" s="22">
        <f t="shared" si="1"/>
        <v>692</v>
      </c>
      <c r="D55" s="22">
        <f t="shared" si="2"/>
        <v>220</v>
      </c>
      <c r="E55" s="17" t="e">
        <f>NA()</f>
        <v>#N/A</v>
      </c>
    </row>
    <row r="56" spans="1:5">
      <c r="A56" s="16" t="s">
        <v>50</v>
      </c>
      <c r="B56" s="23">
        <v>373</v>
      </c>
      <c r="C56" s="22">
        <f t="shared" si="1"/>
        <v>692</v>
      </c>
      <c r="D56" s="22">
        <f t="shared" si="2"/>
        <v>220</v>
      </c>
      <c r="E56" s="17" t="e">
        <f>NA()</f>
        <v>#N/A</v>
      </c>
    </row>
    <row r="57" spans="1:5">
      <c r="A57" s="16" t="s">
        <v>51</v>
      </c>
      <c r="B57" s="23">
        <v>439</v>
      </c>
      <c r="C57" s="22">
        <f t="shared" si="1"/>
        <v>692</v>
      </c>
      <c r="D57" s="22">
        <f t="shared" si="2"/>
        <v>220</v>
      </c>
      <c r="E57" s="17" t="e">
        <f>NA()</f>
        <v>#N/A</v>
      </c>
    </row>
    <row r="58" spans="1:5">
      <c r="A58" s="16" t="s">
        <v>52</v>
      </c>
      <c r="B58" s="23">
        <v>428</v>
      </c>
      <c r="C58" s="22">
        <f t="shared" si="1"/>
        <v>692</v>
      </c>
      <c r="D58" s="22">
        <f t="shared" si="2"/>
        <v>220</v>
      </c>
      <c r="E58" s="17" t="e">
        <f>NA()</f>
        <v>#N/A</v>
      </c>
    </row>
    <row r="59" spans="1:5">
      <c r="A59" s="16" t="s">
        <v>53</v>
      </c>
      <c r="B59" s="23">
        <v>692</v>
      </c>
      <c r="C59" s="22">
        <f t="shared" si="1"/>
        <v>692</v>
      </c>
      <c r="D59" s="22">
        <f t="shared" si="2"/>
        <v>220</v>
      </c>
      <c r="E59" s="17">
        <v>650</v>
      </c>
    </row>
    <row r="61" spans="1:5">
      <c r="A61" s="9" t="s">
        <v>167</v>
      </c>
    </row>
    <row r="62" spans="1:5">
      <c r="A62" s="19" t="s">
        <v>168</v>
      </c>
    </row>
    <row r="63" spans="1:5">
      <c r="A63" s="19" t="s">
        <v>169</v>
      </c>
    </row>
    <row r="64" spans="1:5">
      <c r="A64" s="20" t="s">
        <v>170</v>
      </c>
    </row>
    <row r="68" spans="1:4">
      <c r="A68" s="14" t="s">
        <v>26</v>
      </c>
      <c r="B68" s="15" t="s">
        <v>46</v>
      </c>
      <c r="C68" s="15" t="s">
        <v>47</v>
      </c>
      <c r="D68" s="15" t="s">
        <v>48</v>
      </c>
    </row>
    <row r="69" spans="1:4">
      <c r="A69" s="16" t="s">
        <v>42</v>
      </c>
      <c r="B69" s="17">
        <v>26</v>
      </c>
      <c r="C69" s="17" t="e">
        <f t="shared" ref="C69:C77" si="3">IF(MAX($B$69:$B$77)=B69,B69,NA())</f>
        <v>#N/A</v>
      </c>
      <c r="D69" s="17" t="e">
        <f t="shared" ref="D69:D77" si="4">IF(MIN($B$69:$B$77)=B69,B69,NA())</f>
        <v>#N/A</v>
      </c>
    </row>
    <row r="70" spans="1:4">
      <c r="A70" s="16" t="s">
        <v>43</v>
      </c>
      <c r="B70" s="17">
        <v>23</v>
      </c>
      <c r="C70" s="17" t="e">
        <f t="shared" si="3"/>
        <v>#N/A</v>
      </c>
      <c r="D70" s="17" t="e">
        <f t="shared" si="4"/>
        <v>#N/A</v>
      </c>
    </row>
    <row r="71" spans="1:4">
      <c r="A71" s="16" t="s">
        <v>44</v>
      </c>
      <c r="B71" s="17">
        <v>55</v>
      </c>
      <c r="C71" s="17">
        <f t="shared" si="3"/>
        <v>55</v>
      </c>
      <c r="D71" s="17" t="e">
        <f t="shared" si="4"/>
        <v>#N/A</v>
      </c>
    </row>
    <row r="72" spans="1:4">
      <c r="A72" s="16" t="s">
        <v>81</v>
      </c>
      <c r="B72" s="17">
        <v>37</v>
      </c>
      <c r="C72" s="17" t="e">
        <f t="shared" si="3"/>
        <v>#N/A</v>
      </c>
      <c r="D72" s="17" t="e">
        <f t="shared" si="4"/>
        <v>#N/A</v>
      </c>
    </row>
    <row r="73" spans="1:4">
      <c r="A73" s="16" t="s">
        <v>82</v>
      </c>
      <c r="B73" s="17">
        <v>39</v>
      </c>
      <c r="C73" s="17" t="e">
        <f t="shared" si="3"/>
        <v>#N/A</v>
      </c>
      <c r="D73" s="17" t="e">
        <f t="shared" si="4"/>
        <v>#N/A</v>
      </c>
    </row>
    <row r="74" spans="1:4">
      <c r="A74" s="16" t="s">
        <v>83</v>
      </c>
      <c r="B74" s="17">
        <v>28</v>
      </c>
      <c r="C74" s="17" t="e">
        <f t="shared" si="3"/>
        <v>#N/A</v>
      </c>
      <c r="D74" s="17" t="e">
        <f t="shared" si="4"/>
        <v>#N/A</v>
      </c>
    </row>
    <row r="75" spans="1:4">
      <c r="A75" s="16" t="s">
        <v>84</v>
      </c>
      <c r="B75" s="17">
        <v>22</v>
      </c>
      <c r="C75" s="17" t="e">
        <f t="shared" si="3"/>
        <v>#N/A</v>
      </c>
      <c r="D75" s="17">
        <f t="shared" si="4"/>
        <v>22</v>
      </c>
    </row>
    <row r="76" spans="1:4">
      <c r="A76" s="16" t="s">
        <v>85</v>
      </c>
      <c r="B76" s="17">
        <v>35</v>
      </c>
      <c r="C76" s="17" t="e">
        <f t="shared" si="3"/>
        <v>#N/A</v>
      </c>
      <c r="D76" s="17" t="e">
        <f t="shared" si="4"/>
        <v>#N/A</v>
      </c>
    </row>
    <row r="77" spans="1:4">
      <c r="A77" s="16" t="s">
        <v>86</v>
      </c>
      <c r="B77" s="17">
        <v>38</v>
      </c>
      <c r="C77" s="17" t="e">
        <f t="shared" si="3"/>
        <v>#N/A</v>
      </c>
      <c r="D77" s="17" t="e">
        <f t="shared" si="4"/>
        <v>#N/A</v>
      </c>
    </row>
    <row r="79" spans="1:4">
      <c r="A79" s="9" t="s">
        <v>171</v>
      </c>
    </row>
    <row r="80" spans="1:4">
      <c r="A80" s="9" t="s">
        <v>172</v>
      </c>
    </row>
    <row r="81" spans="1:1">
      <c r="A81" s="9" t="s">
        <v>186</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tabSelected="1" topLeftCell="A29" zoomScale="120" zoomScaleNormal="120" workbookViewId="0">
      <selection activeCell="F49" sqref="F49"/>
    </sheetView>
  </sheetViews>
  <sheetFormatPr baseColWidth="10" defaultRowHeight="15"/>
  <cols>
    <col min="1" max="1" width="12.83203125" customWidth="1"/>
    <col min="4" max="4" width="12.83203125" customWidth="1"/>
  </cols>
  <sheetData>
    <row r="1" spans="1:10">
      <c r="A1" s="14" t="s">
        <v>45</v>
      </c>
      <c r="B1" s="14" t="s">
        <v>182</v>
      </c>
      <c r="C1" s="14" t="s">
        <v>177</v>
      </c>
      <c r="D1" s="14" t="s">
        <v>178</v>
      </c>
      <c r="E1" s="14" t="s">
        <v>179</v>
      </c>
      <c r="F1" t="str" cm="1">
        <f t="array" ref="F1:F4">TRANSPOSE(B1:E1)</f>
        <v>彩盒</v>
      </c>
      <c r="G1">
        <v>2</v>
      </c>
      <c r="H1" s="14" t="s">
        <v>45</v>
      </c>
      <c r="I1" s="14" t="str" cm="1">
        <f t="array" ref="I1">INDEX(B1:E1,$G$1)</f>
        <v>宠物用品</v>
      </c>
      <c r="J1" s="14" t="s">
        <v>184</v>
      </c>
    </row>
    <row r="2" spans="1:10">
      <c r="A2" s="42" t="s">
        <v>32</v>
      </c>
      <c r="B2" s="42">
        <v>382003.87466317398</v>
      </c>
      <c r="C2" s="42">
        <v>364203.55034234998</v>
      </c>
      <c r="D2" s="42">
        <v>82190.393763</v>
      </c>
      <c r="E2" s="42">
        <v>57118.233818615401</v>
      </c>
      <c r="F2" t="str">
        <v>宠物用品</v>
      </c>
      <c r="G2">
        <v>4</v>
      </c>
      <c r="H2" s="42" t="s">
        <v>32</v>
      </c>
      <c r="I2" s="43" cm="1">
        <f t="array" ref="I2">INDEX(B2:E2,$G$1)</f>
        <v>364203.55034234998</v>
      </c>
      <c r="J2" s="43" t="e">
        <f>IF(I2=MAX($I$2:$I$13),ROUND(I2,2),NA())</f>
        <v>#N/A</v>
      </c>
    </row>
    <row r="3" spans="1:10">
      <c r="A3" s="42" t="s">
        <v>33</v>
      </c>
      <c r="B3" s="42">
        <v>222520.24863675001</v>
      </c>
      <c r="C3" s="42">
        <v>181175.6692077</v>
      </c>
      <c r="D3" s="42">
        <v>77177.717163209003</v>
      </c>
      <c r="E3" s="42">
        <v>282039.70225500001</v>
      </c>
      <c r="F3" t="str">
        <v>警告标</v>
      </c>
      <c r="H3" s="42" t="s">
        <v>33</v>
      </c>
      <c r="I3" s="43" cm="1">
        <f t="array" ref="I3">INDEX(B3:E3,$G$1)</f>
        <v>181175.6692077</v>
      </c>
      <c r="J3" s="43" t="e">
        <f t="shared" ref="J3:J13" si="0">IF(I3=MAX($I$2:$I$13),ROUND(I3,2),NA())</f>
        <v>#N/A</v>
      </c>
    </row>
    <row r="4" spans="1:10">
      <c r="A4" s="42" t="s">
        <v>34</v>
      </c>
      <c r="B4" s="42">
        <v>507398.66051713802</v>
      </c>
      <c r="C4" s="42">
        <v>867964.09338029998</v>
      </c>
      <c r="D4" s="42">
        <v>274581.57657788199</v>
      </c>
      <c r="E4" s="42">
        <v>267860.33682959998</v>
      </c>
      <c r="F4" t="str">
        <v>暖靴</v>
      </c>
      <c r="H4" s="42" t="s">
        <v>34</v>
      </c>
      <c r="I4" s="43" cm="1">
        <f t="array" ref="I4">INDEX(B4:E4,$G$1)</f>
        <v>867964.09338029998</v>
      </c>
      <c r="J4" s="43" t="e">
        <f t="shared" si="0"/>
        <v>#N/A</v>
      </c>
    </row>
    <row r="5" spans="1:10">
      <c r="A5" s="42" t="s">
        <v>35</v>
      </c>
      <c r="B5" s="42">
        <v>582530.53595565597</v>
      </c>
      <c r="C5" s="42">
        <v>1153034.6644532999</v>
      </c>
      <c r="D5" s="42">
        <v>216350.26289700001</v>
      </c>
      <c r="E5" s="42">
        <v>152184.76943099999</v>
      </c>
      <c r="H5" s="42" t="s">
        <v>35</v>
      </c>
      <c r="I5" s="43" cm="1">
        <f t="array" ref="I5">INDEX(B5:E5,$G$1)</f>
        <v>1153034.6644532999</v>
      </c>
      <c r="J5" s="43">
        <f t="shared" si="0"/>
        <v>1153034.6599999999</v>
      </c>
    </row>
    <row r="6" spans="1:10">
      <c r="A6" s="42" t="s">
        <v>36</v>
      </c>
      <c r="B6" s="42">
        <v>401726.38020000001</v>
      </c>
      <c r="C6" s="42">
        <v>381435.69970230001</v>
      </c>
      <c r="D6" s="42">
        <v>347903.07269691199</v>
      </c>
      <c r="E6" s="42">
        <v>392195.92825732002</v>
      </c>
      <c r="H6" s="42" t="s">
        <v>36</v>
      </c>
      <c r="I6" s="43" cm="1">
        <f t="array" ref="I6">INDEX(B6:E6,$G$1)</f>
        <v>381435.69970230001</v>
      </c>
      <c r="J6" s="43" t="e">
        <f t="shared" si="0"/>
        <v>#N/A</v>
      </c>
    </row>
    <row r="7" spans="1:10">
      <c r="A7" s="42" t="s">
        <v>37</v>
      </c>
      <c r="B7" s="42">
        <v>334359.9053865</v>
      </c>
      <c r="C7" s="42">
        <v>309793.18063531799</v>
      </c>
      <c r="D7" s="42">
        <v>406920.52441379998</v>
      </c>
      <c r="E7" s="42">
        <v>257433.08298899999</v>
      </c>
      <c r="H7" s="42" t="s">
        <v>37</v>
      </c>
      <c r="I7" s="43" cm="1">
        <f t="array" ref="I7">INDEX(B7:E7,$G$1)</f>
        <v>309793.18063531799</v>
      </c>
      <c r="J7" s="43" t="e">
        <f t="shared" si="0"/>
        <v>#N/A</v>
      </c>
    </row>
    <row r="8" spans="1:10">
      <c r="A8" s="42" t="s">
        <v>38</v>
      </c>
      <c r="B8" s="42">
        <v>510118.95270869997</v>
      </c>
      <c r="C8" s="42">
        <v>580041.42196275003</v>
      </c>
      <c r="D8" s="42">
        <v>347489.67221009999</v>
      </c>
      <c r="E8" s="42">
        <v>234712.95974729999</v>
      </c>
      <c r="H8" s="42" t="s">
        <v>38</v>
      </c>
      <c r="I8" s="43" cm="1">
        <f t="array" ref="I8">INDEX(B8:E8,$G$1)</f>
        <v>580041.42196275003</v>
      </c>
      <c r="J8" s="43" t="e">
        <f t="shared" si="0"/>
        <v>#N/A</v>
      </c>
    </row>
    <row r="9" spans="1:10">
      <c r="A9" s="42" t="s">
        <v>39</v>
      </c>
      <c r="B9" s="42">
        <v>220130.085822833</v>
      </c>
      <c r="C9" s="42">
        <v>150589.96349085</v>
      </c>
      <c r="D9" s="42">
        <v>462951.10162859998</v>
      </c>
      <c r="E9" s="42">
        <v>193999.30782770301</v>
      </c>
      <c r="H9" s="42" t="s">
        <v>39</v>
      </c>
      <c r="I9" s="43" cm="1">
        <f t="array" ref="I9">INDEX(B9:E9,$G$1)</f>
        <v>150589.96349085</v>
      </c>
      <c r="J9" s="43" t="e">
        <f t="shared" si="0"/>
        <v>#N/A</v>
      </c>
    </row>
    <row r="10" spans="1:10">
      <c r="A10" s="42" t="s">
        <v>50</v>
      </c>
      <c r="B10" s="42">
        <v>373503.19573377603</v>
      </c>
      <c r="C10" s="42">
        <v>408638.32068263099</v>
      </c>
      <c r="D10" s="42">
        <v>415767.62143544998</v>
      </c>
      <c r="E10" s="42">
        <v>336451.77412515</v>
      </c>
      <c r="H10" s="42" t="s">
        <v>50</v>
      </c>
      <c r="I10" s="43" cm="1">
        <f t="array" ref="I10">INDEX(B10:E10,$G$1)</f>
        <v>408638.32068263099</v>
      </c>
      <c r="J10" s="43" t="e">
        <f t="shared" si="0"/>
        <v>#N/A</v>
      </c>
    </row>
    <row r="11" spans="1:10">
      <c r="A11" s="42" t="s">
        <v>51</v>
      </c>
      <c r="B11" s="42">
        <v>439424.08198979998</v>
      </c>
      <c r="C11" s="42">
        <v>305883.12260910001</v>
      </c>
      <c r="D11" s="42">
        <v>307138.75165805803</v>
      </c>
      <c r="E11" s="42">
        <v>278499.72181439999</v>
      </c>
      <c r="H11" s="42" t="s">
        <v>51</v>
      </c>
      <c r="I11" s="43" cm="1">
        <f t="array" ref="I11">INDEX(B11:E11,$G$1)</f>
        <v>305883.12260910001</v>
      </c>
      <c r="J11" s="43" t="e">
        <f t="shared" si="0"/>
        <v>#N/A</v>
      </c>
    </row>
    <row r="12" spans="1:10">
      <c r="A12" s="42" t="s">
        <v>52</v>
      </c>
      <c r="B12" s="42">
        <v>428661.55981269199</v>
      </c>
      <c r="C12" s="42">
        <v>194589.08705880001</v>
      </c>
      <c r="D12" s="42">
        <v>560053.13337255002</v>
      </c>
      <c r="E12" s="42">
        <v>786852.40998707397</v>
      </c>
      <c r="H12" s="42" t="s">
        <v>52</v>
      </c>
      <c r="I12" s="43" cm="1">
        <f t="array" ref="I12">INDEX(B12:E12,$G$1)</f>
        <v>194589.08705880001</v>
      </c>
      <c r="J12" s="43" t="e">
        <f t="shared" si="0"/>
        <v>#N/A</v>
      </c>
    </row>
    <row r="13" spans="1:10">
      <c r="A13" s="42" t="s">
        <v>53</v>
      </c>
      <c r="B13" s="42">
        <v>692964.70983135398</v>
      </c>
      <c r="C13" s="42">
        <v>111893.048736</v>
      </c>
      <c r="D13" s="42">
        <v>513013.92828901397</v>
      </c>
      <c r="E13" s="42">
        <v>1019700.94490051</v>
      </c>
      <c r="H13" s="42" t="s">
        <v>53</v>
      </c>
      <c r="I13" s="43" cm="1">
        <f t="array" ref="I13">INDEX(B13:E13,$G$1)</f>
        <v>111893.048736</v>
      </c>
      <c r="J13" s="43" t="e">
        <f t="shared" si="0"/>
        <v>#N/A</v>
      </c>
    </row>
    <row r="15" spans="1:10">
      <c r="A15" s="41" t="s">
        <v>180</v>
      </c>
    </row>
    <row r="16" spans="1:10">
      <c r="A16" s="9" t="s">
        <v>181</v>
      </c>
    </row>
    <row r="17" spans="1:5">
      <c r="A17" s="9" t="s">
        <v>183</v>
      </c>
    </row>
    <row r="18" spans="1:5">
      <c r="A18" s="9" t="s">
        <v>185</v>
      </c>
    </row>
    <row r="19" spans="1:5">
      <c r="A19" s="9" t="s">
        <v>187</v>
      </c>
    </row>
    <row r="22" spans="1:5">
      <c r="A22" s="41" t="s">
        <v>188</v>
      </c>
    </row>
    <row r="23" spans="1:5">
      <c r="A23" s="41" t="s">
        <v>189</v>
      </c>
    </row>
    <row r="24" spans="1:5">
      <c r="A24" s="41" t="s">
        <v>190</v>
      </c>
    </row>
    <row r="26" spans="1:5">
      <c r="B26" t="b">
        <v>1</v>
      </c>
      <c r="C26" t="b">
        <v>0</v>
      </c>
      <c r="D26" t="b">
        <v>1</v>
      </c>
      <c r="E26" t="b">
        <v>1</v>
      </c>
    </row>
    <row r="27" spans="1:5">
      <c r="A27" s="14" t="s">
        <v>45</v>
      </c>
      <c r="B27" s="14" t="s">
        <v>182</v>
      </c>
      <c r="C27" s="14" t="s">
        <v>177</v>
      </c>
      <c r="D27" s="14" t="s">
        <v>178</v>
      </c>
      <c r="E27" s="14" t="s">
        <v>179</v>
      </c>
    </row>
    <row r="28" spans="1:5">
      <c r="A28" s="42" t="s">
        <v>32</v>
      </c>
      <c r="B28" s="43">
        <f t="shared" ref="B28:E28" si="1">IF(B$26,B2,NA())</f>
        <v>382003.87466317398</v>
      </c>
      <c r="C28" s="43" t="e">
        <f t="shared" si="1"/>
        <v>#N/A</v>
      </c>
      <c r="D28" s="43">
        <f t="shared" si="1"/>
        <v>82190.393763</v>
      </c>
      <c r="E28" s="43">
        <f t="shared" si="1"/>
        <v>57118.233818615401</v>
      </c>
    </row>
    <row r="29" spans="1:5">
      <c r="A29" s="42" t="s">
        <v>33</v>
      </c>
      <c r="B29" s="43">
        <f t="shared" ref="B29:E29" si="2">IF(B$26,B3,NA())</f>
        <v>222520.24863675001</v>
      </c>
      <c r="C29" s="43" t="e">
        <f t="shared" si="2"/>
        <v>#N/A</v>
      </c>
      <c r="D29" s="43">
        <f t="shared" si="2"/>
        <v>77177.717163209003</v>
      </c>
      <c r="E29" s="43">
        <f t="shared" si="2"/>
        <v>282039.70225500001</v>
      </c>
    </row>
    <row r="30" spans="1:5">
      <c r="A30" s="42" t="s">
        <v>34</v>
      </c>
      <c r="B30" s="43">
        <f t="shared" ref="B30:E30" si="3">IF(B$26,B4,NA())</f>
        <v>507398.66051713802</v>
      </c>
      <c r="C30" s="43" t="e">
        <f t="shared" si="3"/>
        <v>#N/A</v>
      </c>
      <c r="D30" s="43">
        <f t="shared" si="3"/>
        <v>274581.57657788199</v>
      </c>
      <c r="E30" s="43">
        <f t="shared" si="3"/>
        <v>267860.33682959998</v>
      </c>
    </row>
    <row r="31" spans="1:5">
      <c r="A31" s="42" t="s">
        <v>35</v>
      </c>
      <c r="B31" s="43">
        <f t="shared" ref="B31:E31" si="4">IF(B$26,B5,NA())</f>
        <v>582530.53595565597</v>
      </c>
      <c r="C31" s="43" t="e">
        <f t="shared" si="4"/>
        <v>#N/A</v>
      </c>
      <c r="D31" s="43">
        <f t="shared" si="4"/>
        <v>216350.26289700001</v>
      </c>
      <c r="E31" s="43">
        <f t="shared" si="4"/>
        <v>152184.76943099999</v>
      </c>
    </row>
    <row r="32" spans="1:5">
      <c r="A32" s="42" t="s">
        <v>36</v>
      </c>
      <c r="B32" s="43">
        <f t="shared" ref="B32:E32" si="5">IF(B$26,B6,NA())</f>
        <v>401726.38020000001</v>
      </c>
      <c r="C32" s="43" t="e">
        <f t="shared" si="5"/>
        <v>#N/A</v>
      </c>
      <c r="D32" s="43">
        <f t="shared" si="5"/>
        <v>347903.07269691199</v>
      </c>
      <c r="E32" s="43">
        <f t="shared" si="5"/>
        <v>392195.92825732002</v>
      </c>
    </row>
    <row r="33" spans="1:5">
      <c r="A33" s="42" t="s">
        <v>37</v>
      </c>
      <c r="B33" s="43">
        <f t="shared" ref="B33:E33" si="6">IF(B$26,B7,NA())</f>
        <v>334359.9053865</v>
      </c>
      <c r="C33" s="43" t="e">
        <f t="shared" si="6"/>
        <v>#N/A</v>
      </c>
      <c r="D33" s="43">
        <f t="shared" si="6"/>
        <v>406920.52441379998</v>
      </c>
      <c r="E33" s="43">
        <f t="shared" si="6"/>
        <v>257433.08298899999</v>
      </c>
    </row>
    <row r="34" spans="1:5">
      <c r="A34" s="42" t="s">
        <v>38</v>
      </c>
      <c r="B34" s="43">
        <f t="shared" ref="B34:E34" si="7">IF(B$26,B8,NA())</f>
        <v>510118.95270869997</v>
      </c>
      <c r="C34" s="43" t="e">
        <f t="shared" si="7"/>
        <v>#N/A</v>
      </c>
      <c r="D34" s="43">
        <f t="shared" si="7"/>
        <v>347489.67221009999</v>
      </c>
      <c r="E34" s="43">
        <f t="shared" si="7"/>
        <v>234712.95974729999</v>
      </c>
    </row>
    <row r="35" spans="1:5">
      <c r="A35" s="42" t="s">
        <v>39</v>
      </c>
      <c r="B35" s="43">
        <f t="shared" ref="B35:E35" si="8">IF(B$26,B9,NA())</f>
        <v>220130.085822833</v>
      </c>
      <c r="C35" s="43" t="e">
        <f t="shared" si="8"/>
        <v>#N/A</v>
      </c>
      <c r="D35" s="43">
        <f t="shared" si="8"/>
        <v>462951.10162859998</v>
      </c>
      <c r="E35" s="43">
        <f t="shared" si="8"/>
        <v>193999.30782770301</v>
      </c>
    </row>
    <row r="36" spans="1:5">
      <c r="A36" s="42" t="s">
        <v>50</v>
      </c>
      <c r="B36" s="43">
        <f t="shared" ref="B36:E36" si="9">IF(B$26,B10,NA())</f>
        <v>373503.19573377603</v>
      </c>
      <c r="C36" s="43" t="e">
        <f t="shared" si="9"/>
        <v>#N/A</v>
      </c>
      <c r="D36" s="43">
        <f t="shared" si="9"/>
        <v>415767.62143544998</v>
      </c>
      <c r="E36" s="43">
        <f t="shared" si="9"/>
        <v>336451.77412515</v>
      </c>
    </row>
    <row r="37" spans="1:5">
      <c r="A37" s="42" t="s">
        <v>51</v>
      </c>
      <c r="B37" s="43">
        <f t="shared" ref="B37:E37" si="10">IF(B$26,B11,NA())</f>
        <v>439424.08198979998</v>
      </c>
      <c r="C37" s="43" t="e">
        <f t="shared" si="10"/>
        <v>#N/A</v>
      </c>
      <c r="D37" s="43">
        <f t="shared" si="10"/>
        <v>307138.75165805803</v>
      </c>
      <c r="E37" s="43">
        <f t="shared" si="10"/>
        <v>278499.72181439999</v>
      </c>
    </row>
    <row r="38" spans="1:5">
      <c r="A38" s="42" t="s">
        <v>52</v>
      </c>
      <c r="B38" s="43">
        <f t="shared" ref="B38:E38" si="11">IF(B$26,B12,NA())</f>
        <v>428661.55981269199</v>
      </c>
      <c r="C38" s="43" t="e">
        <f t="shared" si="11"/>
        <v>#N/A</v>
      </c>
      <c r="D38" s="43">
        <f t="shared" si="11"/>
        <v>560053.13337255002</v>
      </c>
      <c r="E38" s="43">
        <f t="shared" si="11"/>
        <v>786852.40998707397</v>
      </c>
    </row>
    <row r="39" spans="1:5">
      <c r="A39" s="42" t="s">
        <v>53</v>
      </c>
      <c r="B39" s="43">
        <f t="shared" ref="B39:E39" si="12">IF(B$26,B13,NA())</f>
        <v>692964.70983135398</v>
      </c>
      <c r="C39" s="43" t="e">
        <f t="shared" si="12"/>
        <v>#N/A</v>
      </c>
      <c r="D39" s="43">
        <f t="shared" si="12"/>
        <v>513013.92828901397</v>
      </c>
      <c r="E39" s="43">
        <f t="shared" si="12"/>
        <v>1019700.94490051</v>
      </c>
    </row>
    <row r="45" spans="1:5">
      <c r="A45" s="51" t="s">
        <v>19</v>
      </c>
      <c r="B45" s="51" t="s">
        <v>191</v>
      </c>
      <c r="C45">
        <v>87</v>
      </c>
      <c r="D45" s="51" t="s">
        <v>19</v>
      </c>
      <c r="E45" s="51" t="s">
        <v>191</v>
      </c>
    </row>
    <row r="46" spans="1:5">
      <c r="A46" s="52" t="s">
        <v>192</v>
      </c>
      <c r="B46" s="52">
        <v>23504352</v>
      </c>
      <c r="D46" s="52" t="str" cm="1">
        <f t="array" ref="D46">INDEX(A46:A144,$C$45)</f>
        <v xml:space="preserve"> 2007/04/17</v>
      </c>
      <c r="E46" s="52" cm="1">
        <f t="array" ref="E46">INDEX(B46:B144,$C$45)</f>
        <v>17107981</v>
      </c>
    </row>
    <row r="47" spans="1:5">
      <c r="A47" s="52" t="s">
        <v>193</v>
      </c>
      <c r="B47" s="52">
        <v>26170088</v>
      </c>
      <c r="D47" s="52" t="str" cm="1">
        <f t="array" ref="D47">INDEX(A47:A145,$C$45)</f>
        <v xml:space="preserve"> 2007/04/18</v>
      </c>
      <c r="E47" s="52" cm="1">
        <f t="array" ref="E47">INDEX(B47:B145,$C$45)</f>
        <v>24383468</v>
      </c>
    </row>
    <row r="48" spans="1:5">
      <c r="A48" s="52" t="s">
        <v>194</v>
      </c>
      <c r="B48" s="52">
        <v>22125894</v>
      </c>
      <c r="D48" s="52" t="str" cm="1">
        <f t="array" ref="D48">INDEX(A48:A146,$C$45)</f>
        <v xml:space="preserve"> 2007/04/19</v>
      </c>
      <c r="E48" s="52" cm="1">
        <f t="array" ref="E48">INDEX(B48:B146,$C$45)</f>
        <v>26114851</v>
      </c>
    </row>
    <row r="49" spans="1:5">
      <c r="A49" s="52" t="s">
        <v>195</v>
      </c>
      <c r="B49" s="52">
        <v>20837233</v>
      </c>
      <c r="D49" s="52" t="str" cm="1">
        <f t="array" ref="D49">INDEX(A49:A147,$C$45)</f>
        <v xml:space="preserve"> 2007/04/20</v>
      </c>
      <c r="E49" s="52" cm="1">
        <f t="array" ref="E49">INDEX(B49:B147,$C$45)</f>
        <v>21106449</v>
      </c>
    </row>
    <row r="50" spans="1:5">
      <c r="A50" s="52" t="s">
        <v>196</v>
      </c>
      <c r="B50" s="52">
        <v>17400793</v>
      </c>
      <c r="D50" s="52" t="str" cm="1">
        <f t="array" ref="D50">INDEX(A50:A148,$C$45)</f>
        <v xml:space="preserve"> 2007/04/23</v>
      </c>
      <c r="E50" s="52" cm="1">
        <f t="array" ref="E50">INDEX(B50:B148,$C$45)</f>
        <v>30839757</v>
      </c>
    </row>
    <row r="51" spans="1:5">
      <c r="A51" s="52" t="s">
        <v>197</v>
      </c>
      <c r="B51" s="52">
        <v>25551184</v>
      </c>
      <c r="D51" s="52" t="str" cm="1">
        <f t="array" ref="D51">INDEX(A51:A149,$C$45)</f>
        <v xml:space="preserve"> 2007/04/24</v>
      </c>
      <c r="E51" s="52" cm="1">
        <f t="array" ref="E51">INDEX(B51:B149,$C$45)</f>
        <v>20434018</v>
      </c>
    </row>
    <row r="52" spans="1:5">
      <c r="A52" s="52" t="s">
        <v>198</v>
      </c>
      <c r="B52" s="52">
        <v>15818192</v>
      </c>
      <c r="D52" s="52" t="str" cm="1">
        <f t="array" ref="D52">INDEX(A52:A150,$C$45)</f>
        <v xml:space="preserve"> 2007/04/25</v>
      </c>
      <c r="E52" s="52" cm="1">
        <f t="array" ref="E52">INDEX(B52:B150,$C$45)</f>
        <v>27323654</v>
      </c>
    </row>
    <row r="53" spans="1:5">
      <c r="A53" s="52" t="s">
        <v>199</v>
      </c>
      <c r="B53" s="52">
        <v>22487599</v>
      </c>
      <c r="D53" s="52" t="str" cm="1">
        <f t="array" ref="D53">INDEX(A53:A151,$C$45)</f>
        <v xml:space="preserve"> 2007/04/26</v>
      </c>
      <c r="E53" s="52" cm="1">
        <f t="array" ref="E53">INDEX(B53:B151,$C$45)</f>
        <v>23952562</v>
      </c>
    </row>
    <row r="54" spans="1:5">
      <c r="A54" s="52" t="s">
        <v>200</v>
      </c>
      <c r="B54" s="52">
        <v>23940857</v>
      </c>
      <c r="D54" s="52" t="str" cm="1">
        <f t="array" ref="D54">INDEX(A54:A152,$C$45)</f>
        <v xml:space="preserve"> 2007/04/27</v>
      </c>
      <c r="E54" s="52" cm="1">
        <f t="array" ref="E54">INDEX(B54:B152,$C$45)</f>
        <v>36034578</v>
      </c>
    </row>
    <row r="55" spans="1:5">
      <c r="A55" s="52" t="s">
        <v>201</v>
      </c>
      <c r="B55" s="52">
        <v>18424502</v>
      </c>
      <c r="D55" s="52" t="str" cm="1">
        <f t="array" ref="D55">INDEX(A55:A153,$C$45)</f>
        <v xml:space="preserve"> 2007/04/30</v>
      </c>
      <c r="E55" s="52" cm="1">
        <f t="array" ref="E55">INDEX(B55:B153,$C$45)</f>
        <v>38233396</v>
      </c>
    </row>
    <row r="56" spans="1:5">
      <c r="A56" s="52" t="s">
        <v>202</v>
      </c>
      <c r="B56" s="52">
        <v>16769286</v>
      </c>
    </row>
    <row r="57" spans="1:5">
      <c r="A57" s="52" t="s">
        <v>203</v>
      </c>
      <c r="B57" s="52">
        <v>22173995</v>
      </c>
    </row>
    <row r="58" spans="1:5">
      <c r="A58" s="52" t="s">
        <v>204</v>
      </c>
      <c r="B58" s="52">
        <v>21280295</v>
      </c>
      <c r="D58" s="41" t="s">
        <v>291</v>
      </c>
    </row>
    <row r="59" spans="1:5">
      <c r="A59" s="52" t="s">
        <v>205</v>
      </c>
      <c r="B59" s="52">
        <v>32943083</v>
      </c>
      <c r="D59" s="41" t="s">
        <v>292</v>
      </c>
    </row>
    <row r="60" spans="1:5">
      <c r="A60" s="52" t="s">
        <v>206</v>
      </c>
      <c r="B60" s="52">
        <v>22223575</v>
      </c>
      <c r="D60" s="41" t="s">
        <v>293</v>
      </c>
    </row>
    <row r="61" spans="1:5">
      <c r="A61" s="52" t="s">
        <v>207</v>
      </c>
      <c r="B61" s="52">
        <v>19918132</v>
      </c>
    </row>
    <row r="62" spans="1:5">
      <c r="A62" s="52" t="s">
        <v>208</v>
      </c>
      <c r="B62" s="52">
        <v>26629082</v>
      </c>
    </row>
    <row r="63" spans="1:5">
      <c r="A63" s="52" t="s">
        <v>209</v>
      </c>
      <c r="B63" s="52">
        <v>28122105</v>
      </c>
    </row>
    <row r="64" spans="1:5">
      <c r="A64" s="52" t="s">
        <v>210</v>
      </c>
      <c r="B64" s="52">
        <v>50889423</v>
      </c>
    </row>
    <row r="65" spans="1:2">
      <c r="A65" s="52" t="s">
        <v>211</v>
      </c>
      <c r="B65" s="52">
        <v>35705586</v>
      </c>
    </row>
    <row r="66" spans="1:2">
      <c r="A66" s="52" t="s">
        <v>212</v>
      </c>
      <c r="B66" s="52">
        <v>25488876</v>
      </c>
    </row>
    <row r="67" spans="1:2">
      <c r="A67" s="52" t="s">
        <v>213</v>
      </c>
      <c r="B67" s="52">
        <v>32961946</v>
      </c>
    </row>
    <row r="68" spans="1:2">
      <c r="A68" s="52" t="s">
        <v>214</v>
      </c>
      <c r="B68" s="52">
        <v>35276836</v>
      </c>
    </row>
    <row r="69" spans="1:2">
      <c r="A69" s="52" t="s">
        <v>215</v>
      </c>
      <c r="B69" s="52">
        <v>22885931</v>
      </c>
    </row>
    <row r="70" spans="1:2">
      <c r="A70" s="52" t="s">
        <v>216</v>
      </c>
      <c r="B70" s="52">
        <v>23214839</v>
      </c>
    </row>
    <row r="71" spans="1:2">
      <c r="A71" s="52" t="s">
        <v>217</v>
      </c>
      <c r="B71" s="52">
        <v>22822883</v>
      </c>
    </row>
    <row r="72" spans="1:2">
      <c r="A72" s="52" t="s">
        <v>218</v>
      </c>
      <c r="B72" s="52">
        <v>20194184</v>
      </c>
    </row>
    <row r="73" spans="1:2">
      <c r="A73" s="52" t="s">
        <v>219</v>
      </c>
      <c r="B73" s="52">
        <v>29217135</v>
      </c>
    </row>
    <row r="74" spans="1:2">
      <c r="A74" s="52" t="s">
        <v>220</v>
      </c>
      <c r="B74" s="52">
        <v>35345006</v>
      </c>
    </row>
    <row r="75" spans="1:2">
      <c r="A75" s="52" t="s">
        <v>221</v>
      </c>
      <c r="B75" s="52">
        <v>29665178</v>
      </c>
    </row>
    <row r="76" spans="1:2">
      <c r="A76" s="52" t="s">
        <v>222</v>
      </c>
      <c r="B76" s="52">
        <v>42172602</v>
      </c>
    </row>
    <row r="77" spans="1:2">
      <c r="A77" s="52" t="s">
        <v>223</v>
      </c>
      <c r="B77" s="52">
        <v>49135174</v>
      </c>
    </row>
    <row r="78" spans="1:2">
      <c r="A78" s="52" t="s">
        <v>224</v>
      </c>
      <c r="B78" s="52">
        <v>35293836</v>
      </c>
    </row>
    <row r="79" spans="1:2">
      <c r="A79" s="52" t="s">
        <v>225</v>
      </c>
      <c r="B79" s="52">
        <v>28607594</v>
      </c>
    </row>
    <row r="80" spans="1:2">
      <c r="A80" s="52" t="s">
        <v>226</v>
      </c>
      <c r="B80" s="52">
        <v>37171143</v>
      </c>
    </row>
    <row r="81" spans="1:2">
      <c r="A81" s="52" t="s">
        <v>227</v>
      </c>
      <c r="B81" s="52">
        <v>37450598</v>
      </c>
    </row>
    <row r="82" spans="1:2">
      <c r="A82" s="52" t="s">
        <v>228</v>
      </c>
      <c r="B82" s="52">
        <v>38850850</v>
      </c>
    </row>
    <row r="83" spans="1:2">
      <c r="A83" s="52" t="s">
        <v>229</v>
      </c>
      <c r="B83" s="52">
        <v>28116984</v>
      </c>
    </row>
    <row r="84" spans="1:2">
      <c r="A84" s="52" t="s">
        <v>230</v>
      </c>
      <c r="B84" s="52">
        <v>17513926</v>
      </c>
    </row>
    <row r="85" spans="1:2">
      <c r="A85" s="52" t="s">
        <v>231</v>
      </c>
      <c r="B85" s="52">
        <v>19908988</v>
      </c>
    </row>
    <row r="86" spans="1:2">
      <c r="A86" s="52" t="s">
        <v>232</v>
      </c>
      <c r="B86" s="52">
        <v>27238656</v>
      </c>
    </row>
    <row r="87" spans="1:2">
      <c r="A87" s="52" t="s">
        <v>233</v>
      </c>
      <c r="B87" s="52">
        <v>51905083</v>
      </c>
    </row>
    <row r="88" spans="1:2">
      <c r="A88" s="52" t="s">
        <v>234</v>
      </c>
      <c r="B88" s="52">
        <v>40171146</v>
      </c>
    </row>
    <row r="89" spans="1:2">
      <c r="A89" s="52" t="s">
        <v>235</v>
      </c>
      <c r="B89" s="52">
        <v>16733808</v>
      </c>
    </row>
    <row r="90" spans="1:2">
      <c r="A90" s="52" t="s">
        <v>236</v>
      </c>
      <c r="B90" s="52">
        <v>16164196</v>
      </c>
    </row>
    <row r="91" spans="1:2">
      <c r="A91" s="52" t="s">
        <v>237</v>
      </c>
      <c r="B91" s="52">
        <v>14591761</v>
      </c>
    </row>
    <row r="92" spans="1:2">
      <c r="A92" s="52" t="s">
        <v>238</v>
      </c>
      <c r="B92" s="52">
        <v>10915882</v>
      </c>
    </row>
    <row r="93" spans="1:2">
      <c r="A93" s="52" t="s">
        <v>239</v>
      </c>
      <c r="B93" s="52">
        <v>13027003</v>
      </c>
    </row>
    <row r="94" spans="1:2">
      <c r="A94" s="52" t="s">
        <v>240</v>
      </c>
      <c r="B94" s="52">
        <v>13538672</v>
      </c>
    </row>
    <row r="95" spans="1:2">
      <c r="A95" s="52" t="s">
        <v>241</v>
      </c>
      <c r="B95" s="52">
        <v>22428437</v>
      </c>
    </row>
    <row r="96" spans="1:2">
      <c r="A96" s="52" t="s">
        <v>242</v>
      </c>
      <c r="B96" s="52">
        <v>25443200</v>
      </c>
    </row>
    <row r="97" spans="1:2">
      <c r="A97" s="52" t="s">
        <v>243</v>
      </c>
      <c r="B97" s="52">
        <v>38947514</v>
      </c>
    </row>
    <row r="98" spans="1:2">
      <c r="A98" s="52" t="s">
        <v>244</v>
      </c>
      <c r="B98" s="52">
        <v>33259504</v>
      </c>
    </row>
    <row r="99" spans="1:2">
      <c r="A99" s="52" t="s">
        <v>245</v>
      </c>
      <c r="B99" s="52">
        <v>23479344</v>
      </c>
    </row>
    <row r="100" spans="1:2">
      <c r="A100" s="52" t="s">
        <v>246</v>
      </c>
      <c r="B100" s="52">
        <v>23813051</v>
      </c>
    </row>
    <row r="101" spans="1:2">
      <c r="A101" s="52" t="s">
        <v>247</v>
      </c>
      <c r="B101" s="52">
        <v>18028659</v>
      </c>
    </row>
    <row r="102" spans="1:2">
      <c r="A102" s="52" t="s">
        <v>248</v>
      </c>
      <c r="B102" s="52">
        <v>54548408</v>
      </c>
    </row>
    <row r="103" spans="1:2">
      <c r="A103" s="52" t="s">
        <v>249</v>
      </c>
      <c r="B103" s="52">
        <v>33933759</v>
      </c>
    </row>
    <row r="104" spans="1:2">
      <c r="A104" s="52" t="s">
        <v>250</v>
      </c>
      <c r="B104" s="52">
        <v>12381372</v>
      </c>
    </row>
    <row r="105" spans="1:2">
      <c r="A105" s="52" t="s">
        <v>251</v>
      </c>
      <c r="B105" s="52">
        <v>30502367</v>
      </c>
    </row>
    <row r="106" spans="1:2">
      <c r="A106" s="52" t="s">
        <v>252</v>
      </c>
      <c r="B106" s="52">
        <v>18958375</v>
      </c>
    </row>
    <row r="107" spans="1:2">
      <c r="A107" s="52" t="s">
        <v>253</v>
      </c>
      <c r="B107" s="52">
        <v>11112101</v>
      </c>
    </row>
    <row r="108" spans="1:2">
      <c r="A108" s="52" t="s">
        <v>254</v>
      </c>
      <c r="B108" s="52">
        <v>22463611</v>
      </c>
    </row>
    <row r="109" spans="1:2">
      <c r="A109" s="52" t="s">
        <v>255</v>
      </c>
      <c r="B109" s="52">
        <v>20424123</v>
      </c>
    </row>
    <row r="110" spans="1:2">
      <c r="A110" s="52" t="s">
        <v>256</v>
      </c>
      <c r="B110" s="52">
        <v>15951567</v>
      </c>
    </row>
    <row r="111" spans="1:2">
      <c r="A111" s="52" t="s">
        <v>257</v>
      </c>
      <c r="B111" s="52">
        <v>52066922</v>
      </c>
    </row>
    <row r="112" spans="1:2">
      <c r="A112" s="52" t="s">
        <v>258</v>
      </c>
      <c r="B112" s="52">
        <v>23330989</v>
      </c>
    </row>
    <row r="113" spans="1:2">
      <c r="A113" s="52" t="s">
        <v>259</v>
      </c>
      <c r="B113" s="52">
        <v>44885888</v>
      </c>
    </row>
    <row r="114" spans="1:2">
      <c r="A114" s="52" t="s">
        <v>260</v>
      </c>
      <c r="B114" s="52">
        <v>35092814</v>
      </c>
    </row>
    <row r="115" spans="1:2">
      <c r="A115" s="52" t="s">
        <v>261</v>
      </c>
      <c r="B115" s="52">
        <v>26949283</v>
      </c>
    </row>
    <row r="116" spans="1:2">
      <c r="A116" s="52" t="s">
        <v>262</v>
      </c>
      <c r="B116" s="52">
        <v>21400020</v>
      </c>
    </row>
    <row r="117" spans="1:2">
      <c r="A117" s="52" t="s">
        <v>263</v>
      </c>
      <c r="B117" s="52">
        <v>14578229</v>
      </c>
    </row>
    <row r="118" spans="1:2">
      <c r="A118" s="52" t="s">
        <v>264</v>
      </c>
      <c r="B118" s="52">
        <v>28743262</v>
      </c>
    </row>
    <row r="119" spans="1:2">
      <c r="A119" s="52" t="s">
        <v>265</v>
      </c>
      <c r="B119" s="52">
        <v>44359405</v>
      </c>
    </row>
    <row r="120" spans="1:2">
      <c r="A120" s="52" t="s">
        <v>266</v>
      </c>
      <c r="B120" s="52">
        <v>15177231</v>
      </c>
    </row>
    <row r="121" spans="1:2">
      <c r="A121" s="52" t="s">
        <v>267</v>
      </c>
      <c r="B121" s="52">
        <v>21770870</v>
      </c>
    </row>
    <row r="122" spans="1:2">
      <c r="A122" s="52" t="s">
        <v>268</v>
      </c>
      <c r="B122" s="52">
        <v>21533912</v>
      </c>
    </row>
    <row r="123" spans="1:2">
      <c r="A123" s="52" t="s">
        <v>269</v>
      </c>
      <c r="B123" s="52">
        <v>15760425</v>
      </c>
    </row>
    <row r="124" spans="1:2">
      <c r="A124" s="52" t="s">
        <v>270</v>
      </c>
      <c r="B124" s="52">
        <v>22958503</v>
      </c>
    </row>
    <row r="125" spans="1:2">
      <c r="A125" s="52" t="s">
        <v>271</v>
      </c>
      <c r="B125" s="52">
        <v>18005075</v>
      </c>
    </row>
    <row r="126" spans="1:2">
      <c r="A126" s="52" t="s">
        <v>272</v>
      </c>
      <c r="B126" s="52">
        <v>14271056</v>
      </c>
    </row>
    <row r="127" spans="1:2">
      <c r="A127" s="52" t="s">
        <v>273</v>
      </c>
      <c r="B127" s="52">
        <v>26017270</v>
      </c>
    </row>
    <row r="128" spans="1:2">
      <c r="A128" s="52" t="s">
        <v>274</v>
      </c>
      <c r="B128" s="52">
        <v>25163640</v>
      </c>
    </row>
    <row r="129" spans="1:2">
      <c r="A129" s="52" t="s">
        <v>275</v>
      </c>
      <c r="B129" s="52">
        <v>17199263</v>
      </c>
    </row>
    <row r="130" spans="1:2">
      <c r="A130" s="52" t="s">
        <v>276</v>
      </c>
      <c r="B130" s="52">
        <v>15622050</v>
      </c>
    </row>
    <row r="131" spans="1:2">
      <c r="A131" s="52" t="s">
        <v>277</v>
      </c>
      <c r="B131" s="52">
        <v>15457989</v>
      </c>
    </row>
    <row r="132" spans="1:2">
      <c r="A132" s="52" t="s">
        <v>278</v>
      </c>
      <c r="B132" s="52">
        <v>17107981</v>
      </c>
    </row>
    <row r="133" spans="1:2">
      <c r="A133" s="52" t="s">
        <v>279</v>
      </c>
      <c r="B133" s="52">
        <v>24383468</v>
      </c>
    </row>
    <row r="134" spans="1:2">
      <c r="A134" s="52" t="s">
        <v>280</v>
      </c>
      <c r="B134" s="52">
        <v>26114851</v>
      </c>
    </row>
    <row r="135" spans="1:2">
      <c r="A135" s="52" t="s">
        <v>281</v>
      </c>
      <c r="B135" s="52">
        <v>21106449</v>
      </c>
    </row>
    <row r="136" spans="1:2">
      <c r="A136" s="52" t="s">
        <v>282</v>
      </c>
      <c r="B136" s="52">
        <v>30839757</v>
      </c>
    </row>
    <row r="137" spans="1:2">
      <c r="A137" s="52" t="s">
        <v>283</v>
      </c>
      <c r="B137" s="52">
        <v>20434018</v>
      </c>
    </row>
    <row r="138" spans="1:2">
      <c r="A138" s="52" t="s">
        <v>284</v>
      </c>
      <c r="B138" s="52">
        <v>27323654</v>
      </c>
    </row>
    <row r="139" spans="1:2">
      <c r="A139" s="52" t="s">
        <v>285</v>
      </c>
      <c r="B139" s="52">
        <v>23952562</v>
      </c>
    </row>
    <row r="140" spans="1:2">
      <c r="A140" s="52" t="s">
        <v>286</v>
      </c>
      <c r="B140" s="52">
        <v>36034578</v>
      </c>
    </row>
    <row r="141" spans="1:2">
      <c r="A141" s="52" t="s">
        <v>287</v>
      </c>
      <c r="B141" s="52">
        <v>38233396</v>
      </c>
    </row>
    <row r="142" spans="1:2">
      <c r="A142" s="52" t="s">
        <v>288</v>
      </c>
      <c r="B142" s="52">
        <v>33396821</v>
      </c>
    </row>
    <row r="143" spans="1:2">
      <c r="A143" s="52" t="s">
        <v>289</v>
      </c>
      <c r="B143" s="52">
        <v>49209778</v>
      </c>
    </row>
    <row r="144" spans="1:2">
      <c r="A144" s="52" t="s">
        <v>290</v>
      </c>
      <c r="B144" s="52">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zoomScale="120" zoomScaleNormal="120" workbookViewId="0">
      <selection activeCell="A20" sqref="A20"/>
    </sheetView>
  </sheetViews>
  <sheetFormatPr baseColWidth="10" defaultRowHeight="15"/>
  <sheetData>
    <row r="1" spans="1:5">
      <c r="A1" s="14" t="s">
        <v>45</v>
      </c>
      <c r="B1" s="14" t="s">
        <v>46</v>
      </c>
      <c r="D1" s="15" t="s">
        <v>312</v>
      </c>
      <c r="E1" s="15" t="s">
        <v>311</v>
      </c>
    </row>
    <row r="2" spans="1:5">
      <c r="A2" s="26" t="s">
        <v>303</v>
      </c>
      <c r="B2" s="21">
        <f ca="1">RANDBETWEEN(0,100)</f>
        <v>42</v>
      </c>
      <c r="D2">
        <v>0</v>
      </c>
      <c r="E2">
        <v>60</v>
      </c>
    </row>
    <row r="3" spans="1:5">
      <c r="A3" s="26" t="s">
        <v>304</v>
      </c>
      <c r="B3" s="21">
        <f t="shared" ref="B3:B11" ca="1" si="0">RANDBETWEEN(0,100)</f>
        <v>91</v>
      </c>
      <c r="D3">
        <v>10</v>
      </c>
      <c r="E3">
        <v>90</v>
      </c>
    </row>
    <row r="4" spans="1:5">
      <c r="A4" s="26" t="s">
        <v>305</v>
      </c>
      <c r="B4" s="21">
        <f t="shared" ca="1" si="0"/>
        <v>44</v>
      </c>
    </row>
    <row r="5" spans="1:5">
      <c r="A5" s="26" t="s">
        <v>306</v>
      </c>
      <c r="B5" s="21">
        <f t="shared" ca="1" si="0"/>
        <v>17</v>
      </c>
    </row>
    <row r="6" spans="1:5">
      <c r="A6" s="26" t="s">
        <v>307</v>
      </c>
      <c r="B6" s="21">
        <f t="shared" ca="1" si="0"/>
        <v>97</v>
      </c>
    </row>
    <row r="7" spans="1:5">
      <c r="A7" s="26" t="s">
        <v>308</v>
      </c>
      <c r="B7" s="21">
        <f t="shared" ca="1" si="0"/>
        <v>9</v>
      </c>
    </row>
    <row r="8" spans="1:5">
      <c r="A8" s="26" t="s">
        <v>309</v>
      </c>
      <c r="B8" s="21">
        <f t="shared" ca="1" si="0"/>
        <v>27</v>
      </c>
    </row>
    <row r="9" spans="1:5">
      <c r="A9" s="26" t="s">
        <v>310</v>
      </c>
      <c r="B9" s="21">
        <f t="shared" ca="1" si="0"/>
        <v>22</v>
      </c>
    </row>
    <row r="10" spans="1:5">
      <c r="A10" s="26" t="s">
        <v>314</v>
      </c>
      <c r="B10" s="21">
        <f t="shared" ca="1" si="0"/>
        <v>37</v>
      </c>
    </row>
    <row r="11" spans="1:5">
      <c r="A11" s="26" t="s">
        <v>313</v>
      </c>
      <c r="B11" s="21">
        <f t="shared" ca="1" si="0"/>
        <v>32</v>
      </c>
    </row>
    <row r="14" spans="1:5">
      <c r="A14" s="44" t="s">
        <v>301</v>
      </c>
    </row>
    <row r="15" spans="1:5">
      <c r="A15" s="44" t="s">
        <v>302</v>
      </c>
    </row>
    <row r="16" spans="1:5">
      <c r="A16" s="44" t="s">
        <v>315</v>
      </c>
    </row>
    <row r="17" spans="1:5">
      <c r="A17" s="44" t="s">
        <v>316</v>
      </c>
    </row>
    <row r="18" spans="1:5">
      <c r="A18" s="44" t="s">
        <v>317</v>
      </c>
    </row>
    <row r="19" spans="1:5">
      <c r="A19" s="44" t="s">
        <v>318</v>
      </c>
    </row>
    <row r="20" spans="1:5">
      <c r="A20" s="44" t="s">
        <v>319</v>
      </c>
    </row>
    <row r="23" spans="1:5">
      <c r="A23" s="32" t="s">
        <v>322</v>
      </c>
      <c r="B23" s="32" t="s">
        <v>120</v>
      </c>
      <c r="C23" s="32" t="s">
        <v>321</v>
      </c>
      <c r="D23" s="53" t="s">
        <v>312</v>
      </c>
      <c r="E23" s="53" t="s">
        <v>311</v>
      </c>
    </row>
    <row r="24" spans="1:5">
      <c r="A24" s="54" t="s">
        <v>324</v>
      </c>
      <c r="B24" s="54">
        <v>2500</v>
      </c>
      <c r="C24" s="55">
        <f t="shared" ref="C24:C29" si="1">B24/SUM($B$24:$B$29)</f>
        <v>0.390625</v>
      </c>
      <c r="D24" s="56">
        <v>0</v>
      </c>
      <c r="E24" s="57">
        <v>0</v>
      </c>
    </row>
    <row r="25" spans="1:5">
      <c r="A25" s="54" t="s">
        <v>325</v>
      </c>
      <c r="B25" s="54">
        <v>1500</v>
      </c>
      <c r="C25" s="55">
        <f t="shared" si="1"/>
        <v>0.234375</v>
      </c>
      <c r="D25" s="56">
        <v>1</v>
      </c>
      <c r="E25" s="57">
        <f>E24+C24</f>
        <v>0.390625</v>
      </c>
    </row>
    <row r="26" spans="1:5">
      <c r="A26" s="54" t="s">
        <v>323</v>
      </c>
      <c r="B26" s="54">
        <v>1200</v>
      </c>
      <c r="C26" s="55">
        <f t="shared" si="1"/>
        <v>0.1875</v>
      </c>
      <c r="D26" s="56">
        <v>2</v>
      </c>
      <c r="E26" s="57">
        <f t="shared" ref="E26:E30" si="2">E25+C25</f>
        <v>0.625</v>
      </c>
    </row>
    <row r="27" spans="1:5">
      <c r="A27" s="54" t="s">
        <v>326</v>
      </c>
      <c r="B27" s="54">
        <v>800</v>
      </c>
      <c r="C27" s="55">
        <f t="shared" si="1"/>
        <v>0.125</v>
      </c>
      <c r="D27" s="56">
        <v>3</v>
      </c>
      <c r="E27" s="57">
        <f t="shared" si="2"/>
        <v>0.8125</v>
      </c>
    </row>
    <row r="28" spans="1:5">
      <c r="A28" s="54" t="s">
        <v>327</v>
      </c>
      <c r="B28" s="54">
        <v>240</v>
      </c>
      <c r="C28" s="55">
        <f t="shared" si="1"/>
        <v>3.7499999999999999E-2</v>
      </c>
      <c r="D28" s="56">
        <v>4</v>
      </c>
      <c r="E28" s="57">
        <f t="shared" si="2"/>
        <v>0.9375</v>
      </c>
    </row>
    <row r="29" spans="1:5">
      <c r="A29" s="54" t="s">
        <v>328</v>
      </c>
      <c r="B29" s="54">
        <v>160</v>
      </c>
      <c r="C29" s="55">
        <f t="shared" si="1"/>
        <v>2.5000000000000001E-2</v>
      </c>
      <c r="D29" s="56">
        <v>5</v>
      </c>
      <c r="E29" s="57">
        <f t="shared" si="2"/>
        <v>0.97499999999999998</v>
      </c>
    </row>
    <row r="30" spans="1:5">
      <c r="A30" s="56"/>
      <c r="B30" s="56"/>
      <c r="C30" s="56"/>
      <c r="D30" s="56">
        <v>6</v>
      </c>
      <c r="E30" s="57">
        <f t="shared" si="2"/>
        <v>1</v>
      </c>
    </row>
    <row r="31" spans="1:5">
      <c r="E31" s="45"/>
    </row>
    <row r="32" spans="1:5">
      <c r="A32" s="44" t="s">
        <v>320</v>
      </c>
    </row>
    <row r="33" spans="1:1">
      <c r="A33" s="44" t="s">
        <v>330</v>
      </c>
    </row>
    <row r="34" spans="1:1">
      <c r="A34" s="44" t="s">
        <v>329</v>
      </c>
    </row>
    <row r="35" spans="1:1">
      <c r="A35" s="44" t="s">
        <v>331</v>
      </c>
    </row>
    <row r="36" spans="1:1">
      <c r="A36" s="44" t="s">
        <v>332</v>
      </c>
    </row>
    <row r="37" spans="1:1">
      <c r="A37" s="44" t="s">
        <v>333</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F67"/>
  <sheetViews>
    <sheetView zoomScale="120" zoomScaleNormal="120" workbookViewId="0">
      <selection activeCell="F46" sqref="F46"/>
    </sheetView>
  </sheetViews>
  <sheetFormatPr baseColWidth="10" defaultRowHeight="15"/>
  <cols>
    <col min="2" max="2" width="10.83203125" customWidth="1"/>
    <col min="3" max="4" width="11.6640625" customWidth="1"/>
  </cols>
  <sheetData>
    <row r="1" spans="1:2">
      <c r="A1" s="60" t="s">
        <v>335</v>
      </c>
      <c r="B1" s="60" t="s">
        <v>97</v>
      </c>
    </row>
    <row r="2" spans="1:2">
      <c r="A2" s="17" t="s">
        <v>87</v>
      </c>
      <c r="B2" s="17">
        <v>1</v>
      </c>
    </row>
    <row r="3" spans="1:2">
      <c r="A3" s="17" t="s">
        <v>88</v>
      </c>
      <c r="B3" s="17">
        <v>5</v>
      </c>
    </row>
    <row r="4" spans="1:2">
      <c r="A4" s="17" t="s">
        <v>89</v>
      </c>
      <c r="B4" s="17">
        <v>3</v>
      </c>
    </row>
    <row r="5" spans="1:2">
      <c r="A5" s="17" t="s">
        <v>90</v>
      </c>
      <c r="B5" s="17">
        <v>1</v>
      </c>
    </row>
    <row r="6" spans="1:2">
      <c r="A6" s="17" t="s">
        <v>91</v>
      </c>
      <c r="B6" s="17">
        <v>5</v>
      </c>
    </row>
    <row r="7" spans="1:2">
      <c r="A7" s="17" t="s">
        <v>92</v>
      </c>
      <c r="B7" s="17">
        <v>7</v>
      </c>
    </row>
    <row r="8" spans="1:2">
      <c r="A8" s="17" t="s">
        <v>93</v>
      </c>
      <c r="B8" s="17">
        <v>3</v>
      </c>
    </row>
    <row r="9" spans="1:2">
      <c r="A9" s="17" t="s">
        <v>94</v>
      </c>
      <c r="B9" s="17">
        <v>6</v>
      </c>
    </row>
    <row r="10" spans="1:2">
      <c r="A10" s="17" t="s">
        <v>95</v>
      </c>
      <c r="B10" s="17">
        <v>2</v>
      </c>
    </row>
    <row r="11" spans="1:2">
      <c r="A11" s="17" t="s">
        <v>96</v>
      </c>
      <c r="B11" s="17">
        <v>4</v>
      </c>
    </row>
    <row r="13" spans="1:2">
      <c r="A13" s="44" t="s">
        <v>336</v>
      </c>
    </row>
    <row r="14" spans="1:2">
      <c r="A14" s="44" t="s">
        <v>337</v>
      </c>
    </row>
    <row r="15" spans="1:2">
      <c r="A15" s="44" t="s">
        <v>338</v>
      </c>
    </row>
    <row r="16" spans="1:2">
      <c r="A16" s="44" t="s">
        <v>339</v>
      </c>
    </row>
    <row r="17" spans="1:1">
      <c r="A17" s="44"/>
    </row>
    <row r="18" spans="1:1">
      <c r="A18" s="44"/>
    </row>
    <row r="19" spans="1:1">
      <c r="A19" s="44"/>
    </row>
    <row r="20" spans="1:1">
      <c r="A20" s="44"/>
    </row>
    <row r="39" spans="1:6">
      <c r="A39" s="13" t="s">
        <v>356</v>
      </c>
      <c r="B39">
        <v>1000000</v>
      </c>
      <c r="C39" s="13" t="s">
        <v>343</v>
      </c>
      <c r="F39" s="44" t="s">
        <v>345</v>
      </c>
    </row>
    <row r="40" spans="1:6">
      <c r="A40" t="s">
        <v>340</v>
      </c>
      <c r="B40">
        <v>50000</v>
      </c>
      <c r="C40" s="13" t="s">
        <v>344</v>
      </c>
      <c r="F40" s="44" t="s">
        <v>346</v>
      </c>
    </row>
    <row r="41" spans="1:6">
      <c r="A41" s="13" t="s">
        <v>341</v>
      </c>
      <c r="B41">
        <v>52</v>
      </c>
      <c r="C41" s="13" t="s">
        <v>344</v>
      </c>
      <c r="F41" s="44" t="s">
        <v>347</v>
      </c>
    </row>
    <row r="42" spans="1:6">
      <c r="A42" s="13" t="s">
        <v>342</v>
      </c>
      <c r="B42">
        <v>87</v>
      </c>
      <c r="C42" s="13" t="s">
        <v>344</v>
      </c>
    </row>
    <row r="43" spans="1:6">
      <c r="F43" s="44" t="s">
        <v>348</v>
      </c>
    </row>
    <row r="44" spans="1:6">
      <c r="A44" s="58" t="s">
        <v>354</v>
      </c>
      <c r="B44" s="59">
        <f>B39/(B42-B41)</f>
        <v>28571.428571428572</v>
      </c>
      <c r="C44" s="59">
        <f>B44*B42</f>
        <v>2485714.2857142859</v>
      </c>
      <c r="D44" s="59">
        <f>5000000-C44</f>
        <v>2514285.7142857141</v>
      </c>
      <c r="F44" s="44" t="s">
        <v>357</v>
      </c>
    </row>
    <row r="45" spans="1:6">
      <c r="F45" s="44" t="s">
        <v>353</v>
      </c>
    </row>
    <row r="46" spans="1:6">
      <c r="A46" s="60" t="s">
        <v>349</v>
      </c>
      <c r="B46" s="60" t="s">
        <v>350</v>
      </c>
      <c r="C46" s="60" t="s">
        <v>351</v>
      </c>
      <c r="D46" s="60" t="s">
        <v>352</v>
      </c>
      <c r="F46" s="44" t="s">
        <v>355</v>
      </c>
    </row>
    <row r="47" spans="1:6">
      <c r="A47">
        <v>0</v>
      </c>
      <c r="B47">
        <f>A47*$B$41+$B$39</f>
        <v>1000000</v>
      </c>
      <c r="C47">
        <f>A47*$B$42</f>
        <v>0</v>
      </c>
      <c r="D47">
        <f>C47-B47</f>
        <v>-1000000</v>
      </c>
      <c r="F47" s="44" t="s">
        <v>358</v>
      </c>
    </row>
    <row r="48" spans="1:6">
      <c r="A48">
        <f>A47+2500</f>
        <v>2500</v>
      </c>
      <c r="B48">
        <f t="shared" ref="B48:B67" si="0">A48*$B$41+$B$39</f>
        <v>1130000</v>
      </c>
      <c r="C48">
        <f t="shared" ref="C48:C67" si="1">A48*$B$42</f>
        <v>217500</v>
      </c>
      <c r="D48">
        <f t="shared" ref="D48:D67" si="2">C48-B48</f>
        <v>-912500</v>
      </c>
      <c r="F48" s="44" t="s">
        <v>359</v>
      </c>
    </row>
    <row r="49" spans="1:4">
      <c r="A49">
        <f t="shared" ref="A49:A67" si="3">A48+2500</f>
        <v>5000</v>
      </c>
      <c r="B49">
        <f t="shared" si="0"/>
        <v>1260000</v>
      </c>
      <c r="C49">
        <f t="shared" si="1"/>
        <v>435000</v>
      </c>
      <c r="D49">
        <f t="shared" si="2"/>
        <v>-825000</v>
      </c>
    </row>
    <row r="50" spans="1:4">
      <c r="A50">
        <f t="shared" si="3"/>
        <v>7500</v>
      </c>
      <c r="B50">
        <f t="shared" si="0"/>
        <v>1390000</v>
      </c>
      <c r="C50">
        <f t="shared" si="1"/>
        <v>652500</v>
      </c>
      <c r="D50">
        <f t="shared" si="2"/>
        <v>-737500</v>
      </c>
    </row>
    <row r="51" spans="1:4">
      <c r="A51">
        <f t="shared" si="3"/>
        <v>10000</v>
      </c>
      <c r="B51">
        <f t="shared" si="0"/>
        <v>1520000</v>
      </c>
      <c r="C51">
        <f t="shared" si="1"/>
        <v>870000</v>
      </c>
      <c r="D51">
        <f t="shared" si="2"/>
        <v>-650000</v>
      </c>
    </row>
    <row r="52" spans="1:4">
      <c r="A52">
        <f t="shared" si="3"/>
        <v>12500</v>
      </c>
      <c r="B52">
        <f t="shared" si="0"/>
        <v>1650000</v>
      </c>
      <c r="C52">
        <f t="shared" si="1"/>
        <v>1087500</v>
      </c>
      <c r="D52">
        <f t="shared" si="2"/>
        <v>-562500</v>
      </c>
    </row>
    <row r="53" spans="1:4">
      <c r="A53">
        <f t="shared" si="3"/>
        <v>15000</v>
      </c>
      <c r="B53">
        <f t="shared" si="0"/>
        <v>1780000</v>
      </c>
      <c r="C53">
        <f t="shared" si="1"/>
        <v>1305000</v>
      </c>
      <c r="D53">
        <f t="shared" si="2"/>
        <v>-475000</v>
      </c>
    </row>
    <row r="54" spans="1:4">
      <c r="A54">
        <f t="shared" si="3"/>
        <v>17500</v>
      </c>
      <c r="B54">
        <f t="shared" si="0"/>
        <v>1910000</v>
      </c>
      <c r="C54">
        <f t="shared" si="1"/>
        <v>1522500</v>
      </c>
      <c r="D54">
        <f t="shared" si="2"/>
        <v>-387500</v>
      </c>
    </row>
    <row r="55" spans="1:4">
      <c r="A55">
        <f t="shared" si="3"/>
        <v>20000</v>
      </c>
      <c r="B55">
        <f t="shared" si="0"/>
        <v>2040000</v>
      </c>
      <c r="C55">
        <f t="shared" si="1"/>
        <v>1740000</v>
      </c>
      <c r="D55">
        <f t="shared" si="2"/>
        <v>-300000</v>
      </c>
    </row>
    <row r="56" spans="1:4">
      <c r="A56">
        <f t="shared" si="3"/>
        <v>22500</v>
      </c>
      <c r="B56">
        <f t="shared" si="0"/>
        <v>2170000</v>
      </c>
      <c r="C56">
        <f t="shared" si="1"/>
        <v>1957500</v>
      </c>
      <c r="D56">
        <f t="shared" si="2"/>
        <v>-212500</v>
      </c>
    </row>
    <row r="57" spans="1:4">
      <c r="A57">
        <f t="shared" si="3"/>
        <v>25000</v>
      </c>
      <c r="B57">
        <f t="shared" si="0"/>
        <v>2300000</v>
      </c>
      <c r="C57">
        <f t="shared" si="1"/>
        <v>2175000</v>
      </c>
      <c r="D57">
        <f t="shared" si="2"/>
        <v>-125000</v>
      </c>
    </row>
    <row r="58" spans="1:4">
      <c r="A58">
        <f t="shared" si="3"/>
        <v>27500</v>
      </c>
      <c r="B58">
        <f t="shared" si="0"/>
        <v>2430000</v>
      </c>
      <c r="C58">
        <f t="shared" si="1"/>
        <v>2392500</v>
      </c>
      <c r="D58">
        <f t="shared" si="2"/>
        <v>-37500</v>
      </c>
    </row>
    <row r="59" spans="1:4">
      <c r="A59">
        <f t="shared" si="3"/>
        <v>30000</v>
      </c>
      <c r="B59">
        <f t="shared" si="0"/>
        <v>2560000</v>
      </c>
      <c r="C59">
        <f t="shared" si="1"/>
        <v>2610000</v>
      </c>
      <c r="D59">
        <f t="shared" si="2"/>
        <v>50000</v>
      </c>
    </row>
    <row r="60" spans="1:4">
      <c r="A60">
        <f t="shared" si="3"/>
        <v>32500</v>
      </c>
      <c r="B60">
        <f t="shared" si="0"/>
        <v>2690000</v>
      </c>
      <c r="C60">
        <f t="shared" si="1"/>
        <v>2827500</v>
      </c>
      <c r="D60">
        <f t="shared" si="2"/>
        <v>137500</v>
      </c>
    </row>
    <row r="61" spans="1:4">
      <c r="A61">
        <f t="shared" si="3"/>
        <v>35000</v>
      </c>
      <c r="B61">
        <f t="shared" si="0"/>
        <v>2820000</v>
      </c>
      <c r="C61">
        <f t="shared" si="1"/>
        <v>3045000</v>
      </c>
      <c r="D61">
        <f t="shared" si="2"/>
        <v>225000</v>
      </c>
    </row>
    <row r="62" spans="1:4">
      <c r="A62">
        <f t="shared" si="3"/>
        <v>37500</v>
      </c>
      <c r="B62">
        <f t="shared" si="0"/>
        <v>2950000</v>
      </c>
      <c r="C62">
        <f t="shared" si="1"/>
        <v>3262500</v>
      </c>
      <c r="D62">
        <f t="shared" si="2"/>
        <v>312500</v>
      </c>
    </row>
    <row r="63" spans="1:4">
      <c r="A63">
        <f t="shared" si="3"/>
        <v>40000</v>
      </c>
      <c r="B63">
        <f t="shared" si="0"/>
        <v>3080000</v>
      </c>
      <c r="C63">
        <f t="shared" si="1"/>
        <v>3480000</v>
      </c>
      <c r="D63">
        <f t="shared" si="2"/>
        <v>400000</v>
      </c>
    </row>
    <row r="64" spans="1:4">
      <c r="A64">
        <f t="shared" si="3"/>
        <v>42500</v>
      </c>
      <c r="B64">
        <f t="shared" si="0"/>
        <v>3210000</v>
      </c>
      <c r="C64">
        <f t="shared" si="1"/>
        <v>3697500</v>
      </c>
      <c r="D64">
        <f t="shared" si="2"/>
        <v>487500</v>
      </c>
    </row>
    <row r="65" spans="1:4">
      <c r="A65">
        <f t="shared" si="3"/>
        <v>45000</v>
      </c>
      <c r="B65">
        <f t="shared" si="0"/>
        <v>3340000</v>
      </c>
      <c r="C65">
        <f t="shared" si="1"/>
        <v>3915000</v>
      </c>
      <c r="D65">
        <f t="shared" si="2"/>
        <v>575000</v>
      </c>
    </row>
    <row r="66" spans="1:4">
      <c r="A66">
        <f t="shared" si="3"/>
        <v>47500</v>
      </c>
      <c r="B66">
        <f t="shared" si="0"/>
        <v>3470000</v>
      </c>
      <c r="C66">
        <f t="shared" si="1"/>
        <v>4132500</v>
      </c>
      <c r="D66">
        <f t="shared" si="2"/>
        <v>662500</v>
      </c>
    </row>
    <row r="67" spans="1:4">
      <c r="A67">
        <f t="shared" si="3"/>
        <v>50000</v>
      </c>
      <c r="B67">
        <f t="shared" si="0"/>
        <v>3600000</v>
      </c>
      <c r="C67">
        <f t="shared" si="1"/>
        <v>4350000</v>
      </c>
      <c r="D67">
        <f t="shared" si="2"/>
        <v>750000</v>
      </c>
    </row>
  </sheetData>
  <phoneticPr fontId="1" type="noConversion"/>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2289" r:id="rId3" name="Scroll Bar 1">
              <controlPr defaultSize="0" autoPict="0">
                <anchor moveWithCells="1">
                  <from>
                    <xdr:col>10</xdr:col>
                    <xdr:colOff>12700</xdr:colOff>
                    <xdr:row>39</xdr:row>
                    <xdr:rowOff>12700</xdr:rowOff>
                  </from>
                  <to>
                    <xdr:col>11</xdr:col>
                    <xdr:colOff>825500</xdr:colOff>
                    <xdr:row>40</xdr:row>
                    <xdr:rowOff>25400</xdr:rowOff>
                  </to>
                </anchor>
              </controlPr>
            </control>
          </mc:Choice>
        </mc:AlternateContent>
        <mc:AlternateContent xmlns:mc="http://schemas.openxmlformats.org/markup-compatibility/2006">
          <mc:Choice Requires="x14">
            <control shapeId="12290" r:id="rId4" name="Scroll Bar 2">
              <controlPr defaultSize="0" autoPict="0">
                <anchor moveWithCells="1">
                  <from>
                    <xdr:col>10</xdr:col>
                    <xdr:colOff>12700</xdr:colOff>
                    <xdr:row>41</xdr:row>
                    <xdr:rowOff>12700</xdr:rowOff>
                  </from>
                  <to>
                    <xdr:col>11</xdr:col>
                    <xdr:colOff>825500</xdr:colOff>
                    <xdr:row>42</xdr:row>
                    <xdr:rowOff>25400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4B2FA-C60E-4A41-9F12-AED7A9FF7426}">
  <dimension ref="A1:C59"/>
  <sheetViews>
    <sheetView topLeftCell="A6" zoomScale="120" zoomScaleNormal="120" workbookViewId="0">
      <selection activeCell="C51" sqref="C51"/>
    </sheetView>
  </sheetViews>
  <sheetFormatPr baseColWidth="10" defaultRowHeight="15"/>
  <sheetData>
    <row r="1" spans="1:3">
      <c r="A1" s="60" t="s">
        <v>362</v>
      </c>
      <c r="B1" s="60" t="s">
        <v>360</v>
      </c>
    </row>
    <row r="2" spans="1:3">
      <c r="A2" s="43" t="s">
        <v>361</v>
      </c>
      <c r="B2" s="43">
        <v>1074700.5043819037</v>
      </c>
      <c r="C2">
        <v>0.5</v>
      </c>
    </row>
    <row r="3" spans="1:3">
      <c r="A3" s="43" t="s">
        <v>33</v>
      </c>
      <c r="B3" s="43">
        <v>2471461.0518247653</v>
      </c>
      <c r="C3">
        <v>1.5</v>
      </c>
    </row>
    <row r="4" spans="1:3">
      <c r="A4" s="43" t="s">
        <v>34</v>
      </c>
      <c r="B4" s="43">
        <v>1013848.8790686589</v>
      </c>
      <c r="C4">
        <v>2.5</v>
      </c>
    </row>
    <row r="5" spans="1:3">
      <c r="A5" s="43" t="s">
        <v>35</v>
      </c>
      <c r="B5" s="43">
        <v>2836458.3911607056</v>
      </c>
      <c r="C5">
        <v>3.5</v>
      </c>
    </row>
    <row r="6" spans="1:3">
      <c r="A6" s="43" t="s">
        <v>36</v>
      </c>
      <c r="B6" s="43">
        <v>2356724.565061931</v>
      </c>
      <c r="C6">
        <v>4.5</v>
      </c>
    </row>
    <row r="7" spans="1:3">
      <c r="A7" s="43" t="s">
        <v>37</v>
      </c>
      <c r="B7" s="43">
        <v>1747388.0239122179</v>
      </c>
      <c r="C7">
        <v>5.5</v>
      </c>
    </row>
    <row r="9" spans="1:3">
      <c r="A9" s="44" t="s">
        <v>363</v>
      </c>
    </row>
    <row r="10" spans="1:3">
      <c r="A10" s="44" t="s">
        <v>364</v>
      </c>
    </row>
    <row r="11" spans="1:3">
      <c r="A11" s="44" t="s">
        <v>365</v>
      </c>
    </row>
    <row r="12" spans="1:3">
      <c r="A12" s="44" t="s">
        <v>366</v>
      </c>
    </row>
    <row r="13" spans="1:3">
      <c r="A13" s="44"/>
    </row>
    <row r="22" spans="1:3">
      <c r="A22" s="60" t="s">
        <v>362</v>
      </c>
      <c r="B22" s="60" t="s">
        <v>368</v>
      </c>
      <c r="C22" s="60" t="s">
        <v>371</v>
      </c>
    </row>
    <row r="23" spans="1:3">
      <c r="A23" s="43" t="s">
        <v>32</v>
      </c>
      <c r="B23" s="43">
        <v>107</v>
      </c>
      <c r="C23" s="43">
        <f>B24-B23</f>
        <v>140</v>
      </c>
    </row>
    <row r="24" spans="1:3">
      <c r="A24" s="43" t="s">
        <v>33</v>
      </c>
      <c r="B24" s="43">
        <v>247</v>
      </c>
      <c r="C24" s="43">
        <f t="shared" ref="C24:C34" si="0">B25-B24</f>
        <v>-146</v>
      </c>
    </row>
    <row r="25" spans="1:3">
      <c r="A25" s="43" t="s">
        <v>34</v>
      </c>
      <c r="B25" s="43">
        <v>101</v>
      </c>
      <c r="C25" s="43">
        <f t="shared" si="0"/>
        <v>182</v>
      </c>
    </row>
    <row r="26" spans="1:3">
      <c r="A26" s="43" t="s">
        <v>35</v>
      </c>
      <c r="B26" s="43">
        <v>283</v>
      </c>
      <c r="C26" s="43">
        <f t="shared" si="0"/>
        <v>-48</v>
      </c>
    </row>
    <row r="27" spans="1:3">
      <c r="A27" s="43" t="s">
        <v>36</v>
      </c>
      <c r="B27" s="43">
        <v>235</v>
      </c>
      <c r="C27" s="43">
        <f t="shared" si="0"/>
        <v>-61</v>
      </c>
    </row>
    <row r="28" spans="1:3">
      <c r="A28" s="43" t="s">
        <v>37</v>
      </c>
      <c r="B28" s="43">
        <v>174</v>
      </c>
      <c r="C28" s="43">
        <f t="shared" si="0"/>
        <v>67</v>
      </c>
    </row>
    <row r="29" spans="1:3">
      <c r="A29" s="43" t="s">
        <v>38</v>
      </c>
      <c r="B29" s="43">
        <v>241</v>
      </c>
      <c r="C29" s="43">
        <f t="shared" si="0"/>
        <v>-83</v>
      </c>
    </row>
    <row r="30" spans="1:3">
      <c r="A30" s="43" t="s">
        <v>39</v>
      </c>
      <c r="B30" s="43">
        <v>158</v>
      </c>
      <c r="C30" s="43">
        <f t="shared" si="0"/>
        <v>105</v>
      </c>
    </row>
    <row r="31" spans="1:3">
      <c r="A31" s="43" t="s">
        <v>50</v>
      </c>
      <c r="B31" s="43">
        <v>263</v>
      </c>
      <c r="C31" s="43">
        <f t="shared" si="0"/>
        <v>-23</v>
      </c>
    </row>
    <row r="32" spans="1:3">
      <c r="A32" s="43" t="s">
        <v>51</v>
      </c>
      <c r="B32" s="43">
        <v>240</v>
      </c>
      <c r="C32" s="43">
        <f t="shared" si="0"/>
        <v>225</v>
      </c>
    </row>
    <row r="33" spans="1:3">
      <c r="A33" s="43" t="s">
        <v>52</v>
      </c>
      <c r="B33" s="43">
        <v>465</v>
      </c>
      <c r="C33" s="43">
        <f t="shared" si="0"/>
        <v>-95</v>
      </c>
    </row>
    <row r="34" spans="1:3">
      <c r="A34" s="43" t="s">
        <v>53</v>
      </c>
      <c r="B34" s="43">
        <v>370</v>
      </c>
      <c r="C34" s="43">
        <f t="shared" si="0"/>
        <v>-370</v>
      </c>
    </row>
    <row r="36" spans="1:3">
      <c r="A36" s="44" t="s">
        <v>367</v>
      </c>
    </row>
    <row r="37" spans="1:3">
      <c r="A37" s="44" t="s">
        <v>369</v>
      </c>
    </row>
    <row r="38" spans="1:3">
      <c r="A38" s="44" t="s">
        <v>370</v>
      </c>
    </row>
    <row r="39" spans="1:3">
      <c r="A39" s="44" t="s">
        <v>372</v>
      </c>
    </row>
    <row r="40" spans="1:3">
      <c r="A40" s="44" t="s">
        <v>373</v>
      </c>
    </row>
    <row r="41" spans="1:3">
      <c r="A41" s="44" t="s">
        <v>374</v>
      </c>
    </row>
    <row r="42" spans="1:3">
      <c r="A42" s="44" t="s">
        <v>379</v>
      </c>
    </row>
    <row r="44" spans="1:3">
      <c r="A44" s="44" t="s">
        <v>375</v>
      </c>
    </row>
    <row r="45" spans="1:3">
      <c r="A45" s="44" t="s">
        <v>376</v>
      </c>
    </row>
    <row r="47" spans="1:3">
      <c r="A47" s="61" t="s">
        <v>377</v>
      </c>
      <c r="B47" s="62" t="s">
        <v>378</v>
      </c>
      <c r="C47" s="62" t="s">
        <v>380</v>
      </c>
    </row>
    <row r="48" spans="1:3">
      <c r="A48" s="43">
        <f>IF(C23&gt;0,C23,0)</f>
        <v>140</v>
      </c>
      <c r="B48" s="43">
        <f>IF(C23&lt;0,C23,0)</f>
        <v>0</v>
      </c>
      <c r="C48" s="43">
        <f>B23+C23/2</f>
        <v>177</v>
      </c>
    </row>
    <row r="49" spans="1:3">
      <c r="A49" s="43">
        <f t="shared" ref="A49:A59" si="1">IF(C24&gt;0,C24,0)</f>
        <v>0</v>
      </c>
      <c r="B49" s="43">
        <f t="shared" ref="B49:B59" si="2">IF(C24&lt;0,C24,0)</f>
        <v>-146</v>
      </c>
      <c r="C49" s="43">
        <f t="shared" ref="C49:C59" si="3">B24+C24/2</f>
        <v>174</v>
      </c>
    </row>
    <row r="50" spans="1:3">
      <c r="A50" s="43">
        <f t="shared" si="1"/>
        <v>182</v>
      </c>
      <c r="B50" s="43">
        <f t="shared" si="2"/>
        <v>0</v>
      </c>
      <c r="C50" s="43">
        <f t="shared" si="3"/>
        <v>192</v>
      </c>
    </row>
    <row r="51" spans="1:3">
      <c r="A51" s="43">
        <f t="shared" si="1"/>
        <v>0</v>
      </c>
      <c r="B51" s="43">
        <f t="shared" si="2"/>
        <v>-48</v>
      </c>
      <c r="C51" s="43">
        <f t="shared" si="3"/>
        <v>259</v>
      </c>
    </row>
    <row r="52" spans="1:3">
      <c r="A52" s="43">
        <f t="shared" si="1"/>
        <v>0</v>
      </c>
      <c r="B52" s="43">
        <f t="shared" si="2"/>
        <v>-61</v>
      </c>
      <c r="C52" s="43">
        <f t="shared" si="3"/>
        <v>204.5</v>
      </c>
    </row>
    <row r="53" spans="1:3">
      <c r="A53" s="43">
        <f t="shared" si="1"/>
        <v>67</v>
      </c>
      <c r="B53" s="43">
        <f t="shared" si="2"/>
        <v>0</v>
      </c>
      <c r="C53" s="43">
        <f t="shared" si="3"/>
        <v>207.5</v>
      </c>
    </row>
    <row r="54" spans="1:3">
      <c r="A54" s="43">
        <f t="shared" si="1"/>
        <v>0</v>
      </c>
      <c r="B54" s="43">
        <f t="shared" si="2"/>
        <v>-83</v>
      </c>
      <c r="C54" s="43">
        <f t="shared" si="3"/>
        <v>199.5</v>
      </c>
    </row>
    <row r="55" spans="1:3">
      <c r="A55" s="43">
        <f t="shared" si="1"/>
        <v>105</v>
      </c>
      <c r="B55" s="43">
        <f t="shared" si="2"/>
        <v>0</v>
      </c>
      <c r="C55" s="43">
        <f t="shared" si="3"/>
        <v>210.5</v>
      </c>
    </row>
    <row r="56" spans="1:3">
      <c r="A56" s="43">
        <f t="shared" si="1"/>
        <v>0</v>
      </c>
      <c r="B56" s="43">
        <f t="shared" si="2"/>
        <v>-23</v>
      </c>
      <c r="C56" s="43">
        <f t="shared" si="3"/>
        <v>251.5</v>
      </c>
    </row>
    <row r="57" spans="1:3">
      <c r="A57" s="43">
        <f t="shared" si="1"/>
        <v>225</v>
      </c>
      <c r="B57" s="43">
        <f t="shared" si="2"/>
        <v>0</v>
      </c>
      <c r="C57" s="43">
        <f t="shared" si="3"/>
        <v>352.5</v>
      </c>
    </row>
    <row r="58" spans="1:3">
      <c r="A58" s="43">
        <f t="shared" si="1"/>
        <v>0</v>
      </c>
      <c r="B58" s="43">
        <f t="shared" si="2"/>
        <v>-95</v>
      </c>
      <c r="C58" s="43">
        <f t="shared" si="3"/>
        <v>417.5</v>
      </c>
    </row>
    <row r="59" spans="1:3">
      <c r="A59" s="43">
        <f t="shared" si="1"/>
        <v>0</v>
      </c>
      <c r="B59" s="43">
        <f t="shared" si="2"/>
        <v>-370</v>
      </c>
      <c r="C59" s="43">
        <f t="shared" si="3"/>
        <v>185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CDE60-6B39-8940-92F0-366E993739D7}">
  <dimension ref="A1:G110"/>
  <sheetViews>
    <sheetView topLeftCell="A81" zoomScale="120" zoomScaleNormal="120" workbookViewId="0">
      <selection activeCell="F92" sqref="F92"/>
    </sheetView>
  </sheetViews>
  <sheetFormatPr baseColWidth="10" defaultRowHeight="15"/>
  <cols>
    <col min="3" max="3" width="12" bestFit="1" customWidth="1"/>
    <col min="4" max="4" width="11" bestFit="1" customWidth="1"/>
  </cols>
  <sheetData>
    <row r="1" spans="1:4">
      <c r="A1" s="13" t="s">
        <v>388</v>
      </c>
    </row>
    <row r="4" spans="1:4">
      <c r="B4" s="63" t="s">
        <v>381</v>
      </c>
      <c r="C4" s="63" t="s">
        <v>382</v>
      </c>
      <c r="D4" s="63" t="s">
        <v>386</v>
      </c>
    </row>
    <row r="5" spans="1:4">
      <c r="B5" t="s">
        <v>383</v>
      </c>
      <c r="C5" s="28">
        <v>0.45</v>
      </c>
      <c r="D5" s="28">
        <f>1-C5</f>
        <v>0.55000000000000004</v>
      </c>
    </row>
    <row r="6" spans="1:4">
      <c r="B6" t="s">
        <v>75</v>
      </c>
      <c r="C6" s="28">
        <v>0.56000000000000005</v>
      </c>
      <c r="D6" s="28">
        <f t="shared" ref="D6:D8" si="0">1-C6</f>
        <v>0.43999999999999995</v>
      </c>
    </row>
    <row r="7" spans="1:4">
      <c r="B7" t="s">
        <v>384</v>
      </c>
      <c r="C7" s="28">
        <v>0.63</v>
      </c>
      <c r="D7" s="28">
        <f t="shared" si="0"/>
        <v>0.37</v>
      </c>
    </row>
    <row r="8" spans="1:4">
      <c r="B8" t="s">
        <v>385</v>
      </c>
      <c r="C8" s="28">
        <v>0.75</v>
      </c>
      <c r="D8" s="28">
        <f t="shared" si="0"/>
        <v>0.25</v>
      </c>
    </row>
    <row r="21" spans="2:6">
      <c r="B21" s="63" t="s">
        <v>45</v>
      </c>
      <c r="C21" s="63" t="s">
        <v>387</v>
      </c>
      <c r="D21" s="63" t="s">
        <v>177</v>
      </c>
      <c r="E21" s="63" t="s">
        <v>178</v>
      </c>
      <c r="F21" s="63" t="s">
        <v>179</v>
      </c>
    </row>
    <row r="22" spans="2:6">
      <c r="B22" t="s">
        <v>32</v>
      </c>
      <c r="C22">
        <v>382003.9</v>
      </c>
      <c r="D22">
        <v>364203.6</v>
      </c>
      <c r="E22">
        <v>82190.399999999994</v>
      </c>
      <c r="F22">
        <v>57118.2</v>
      </c>
    </row>
    <row r="23" spans="2:6">
      <c r="B23" t="s">
        <v>33</v>
      </c>
      <c r="C23">
        <v>222520.2</v>
      </c>
      <c r="D23">
        <v>181175.7</v>
      </c>
      <c r="E23">
        <v>77177.7</v>
      </c>
      <c r="F23">
        <v>282039.7</v>
      </c>
    </row>
    <row r="24" spans="2:6">
      <c r="B24" t="s">
        <v>34</v>
      </c>
      <c r="C24">
        <v>507398.7</v>
      </c>
      <c r="D24">
        <v>867964.1</v>
      </c>
      <c r="E24">
        <v>274581.59999999998</v>
      </c>
      <c r="F24">
        <v>267860.3</v>
      </c>
    </row>
    <row r="25" spans="2:6">
      <c r="B25" t="s">
        <v>35</v>
      </c>
      <c r="C25">
        <v>582530.5</v>
      </c>
      <c r="D25">
        <v>1153034.7</v>
      </c>
      <c r="E25">
        <v>216350.3</v>
      </c>
      <c r="F25">
        <v>152184.79999999999</v>
      </c>
    </row>
    <row r="26" spans="2:6">
      <c r="B26" t="s">
        <v>36</v>
      </c>
      <c r="C26">
        <v>401726.4</v>
      </c>
      <c r="D26">
        <v>381435.7</v>
      </c>
      <c r="E26">
        <v>347903.1</v>
      </c>
      <c r="F26">
        <v>392195.9</v>
      </c>
    </row>
    <row r="27" spans="2:6">
      <c r="B27" t="s">
        <v>37</v>
      </c>
      <c r="C27">
        <v>334359.90000000002</v>
      </c>
      <c r="D27">
        <v>309793.2</v>
      </c>
      <c r="E27">
        <v>406920.5</v>
      </c>
      <c r="F27">
        <v>257433.1</v>
      </c>
    </row>
    <row r="28" spans="2:6">
      <c r="B28" t="s">
        <v>38</v>
      </c>
      <c r="C28">
        <v>510119</v>
      </c>
      <c r="D28">
        <v>580041.4</v>
      </c>
      <c r="E28">
        <v>347489.7</v>
      </c>
      <c r="F28">
        <v>234713</v>
      </c>
    </row>
    <row r="29" spans="2:6">
      <c r="B29" t="s">
        <v>39</v>
      </c>
      <c r="C29">
        <v>220130.1</v>
      </c>
      <c r="D29">
        <v>150590</v>
      </c>
      <c r="E29">
        <v>462951.1</v>
      </c>
      <c r="F29">
        <v>193999.3</v>
      </c>
    </row>
    <row r="30" spans="2:6">
      <c r="B30" t="s">
        <v>50</v>
      </c>
      <c r="C30">
        <v>373503.2</v>
      </c>
      <c r="D30">
        <v>408638.3</v>
      </c>
      <c r="E30">
        <v>415767.6</v>
      </c>
      <c r="F30">
        <v>336451.8</v>
      </c>
    </row>
    <row r="31" spans="2:6">
      <c r="B31" t="s">
        <v>51</v>
      </c>
      <c r="C31">
        <v>439424.1</v>
      </c>
      <c r="D31">
        <v>305883.09999999998</v>
      </c>
      <c r="E31">
        <v>307138.8</v>
      </c>
      <c r="F31">
        <v>278499.7</v>
      </c>
    </row>
    <row r="32" spans="2:6">
      <c r="B32" t="s">
        <v>52</v>
      </c>
      <c r="C32">
        <v>428661.6</v>
      </c>
      <c r="D32">
        <v>194589.1</v>
      </c>
      <c r="E32">
        <v>560053.1</v>
      </c>
      <c r="F32">
        <v>786852.4</v>
      </c>
    </row>
    <row r="33" spans="2:6">
      <c r="B33" t="s">
        <v>53</v>
      </c>
      <c r="C33">
        <v>692964.7</v>
      </c>
      <c r="D33">
        <v>111893</v>
      </c>
      <c r="E33">
        <v>513013.9</v>
      </c>
      <c r="F33">
        <v>1019700.9</v>
      </c>
    </row>
    <row r="39" spans="2:6">
      <c r="B39" s="63" t="s">
        <v>98</v>
      </c>
      <c r="C39" s="63" t="s">
        <v>99</v>
      </c>
      <c r="D39" s="63" t="s">
        <v>100</v>
      </c>
    </row>
    <row r="40" spans="2:6">
      <c r="B40" s="64" t="s">
        <v>27</v>
      </c>
      <c r="C40" s="65">
        <v>1449</v>
      </c>
      <c r="D40" s="66">
        <v>0.17599999999999999</v>
      </c>
    </row>
    <row r="41" spans="2:6">
      <c r="B41" s="67" t="s">
        <v>28</v>
      </c>
      <c r="C41" s="65">
        <v>860</v>
      </c>
      <c r="D41" s="66">
        <v>0.27900000000000003</v>
      </c>
    </row>
    <row r="42" spans="2:6">
      <c r="B42" s="68" t="s">
        <v>389</v>
      </c>
      <c r="C42" s="65">
        <v>1165</v>
      </c>
      <c r="D42" s="66">
        <v>0.114</v>
      </c>
    </row>
    <row r="43" spans="2:6">
      <c r="B43" s="69" t="s">
        <v>390</v>
      </c>
      <c r="C43" s="65">
        <v>719</v>
      </c>
      <c r="D43" s="66">
        <v>0.09</v>
      </c>
    </row>
    <row r="44" spans="2:6">
      <c r="B44" s="70" t="s">
        <v>391</v>
      </c>
      <c r="C44" s="65">
        <v>1430</v>
      </c>
      <c r="D44" s="66">
        <v>5.2999999999999999E-2</v>
      </c>
    </row>
    <row r="45" spans="2:6">
      <c r="B45" s="71" t="s">
        <v>392</v>
      </c>
      <c r="C45" s="65">
        <v>1350</v>
      </c>
      <c r="D45" s="66">
        <v>0.253</v>
      </c>
    </row>
    <row r="46" spans="2:6">
      <c r="B46" s="70" t="s">
        <v>393</v>
      </c>
      <c r="C46" s="65">
        <v>750</v>
      </c>
      <c r="D46" s="66">
        <v>6.3E-2</v>
      </c>
    </row>
    <row r="47" spans="2:6">
      <c r="B47" s="70" t="s">
        <v>394</v>
      </c>
      <c r="C47" s="65">
        <v>1700</v>
      </c>
      <c r="D47" s="66">
        <v>0.13200000000000001</v>
      </c>
    </row>
    <row r="62" spans="2:7">
      <c r="B62" s="63" t="s">
        <v>395</v>
      </c>
      <c r="C62" s="63" t="s">
        <v>398</v>
      </c>
      <c r="D62" s="63" t="s">
        <v>401</v>
      </c>
      <c r="E62" s="63" t="s">
        <v>402</v>
      </c>
      <c r="F62" s="63" t="s">
        <v>399</v>
      </c>
      <c r="G62" s="63" t="s">
        <v>400</v>
      </c>
    </row>
    <row r="63" spans="2:7">
      <c r="B63" t="s">
        <v>396</v>
      </c>
      <c r="C63">
        <v>90</v>
      </c>
      <c r="D63">
        <v>90</v>
      </c>
      <c r="E63">
        <v>90</v>
      </c>
      <c r="F63">
        <v>12</v>
      </c>
      <c r="G63">
        <v>6</v>
      </c>
    </row>
    <row r="64" spans="2:7">
      <c r="B64" t="s">
        <v>397</v>
      </c>
      <c r="C64">
        <v>50</v>
      </c>
      <c r="D64">
        <v>80</v>
      </c>
      <c r="E64">
        <v>85</v>
      </c>
      <c r="F64">
        <v>11</v>
      </c>
      <c r="G64">
        <v>4</v>
      </c>
    </row>
    <row r="82" spans="2:4">
      <c r="B82" s="63" t="s">
        <v>403</v>
      </c>
      <c r="C82" s="63" t="s">
        <v>404</v>
      </c>
      <c r="D82" s="63" t="s">
        <v>405</v>
      </c>
    </row>
    <row r="83" spans="2:4">
      <c r="B83" t="s">
        <v>406</v>
      </c>
      <c r="C83" t="s">
        <v>407</v>
      </c>
      <c r="D83">
        <v>614801.94882283837</v>
      </c>
    </row>
    <row r="84" spans="2:4">
      <c r="B84" t="s">
        <v>406</v>
      </c>
      <c r="C84" t="s">
        <v>408</v>
      </c>
      <c r="D84">
        <v>1650501.8442914994</v>
      </c>
    </row>
    <row r="85" spans="2:4">
      <c r="B85" t="s">
        <v>406</v>
      </c>
      <c r="C85" t="s">
        <v>409</v>
      </c>
      <c r="D85">
        <v>172277.03867039998</v>
      </c>
    </row>
    <row r="86" spans="2:4">
      <c r="B86" t="s">
        <v>406</v>
      </c>
      <c r="C86" t="s">
        <v>410</v>
      </c>
      <c r="D86">
        <v>648825.10945230001</v>
      </c>
    </row>
    <row r="87" spans="2:4">
      <c r="B87" t="s">
        <v>406</v>
      </c>
      <c r="C87" t="s">
        <v>411</v>
      </c>
      <c r="D87">
        <v>671654.14847497037</v>
      </c>
    </row>
    <row r="88" spans="2:4">
      <c r="B88" t="s">
        <v>406</v>
      </c>
      <c r="C88" t="s">
        <v>412</v>
      </c>
      <c r="D88">
        <v>3155000.6374635003</v>
      </c>
    </row>
    <row r="89" spans="2:4">
      <c r="B89" t="s">
        <v>413</v>
      </c>
      <c r="C89" t="s">
        <v>407</v>
      </c>
      <c r="D89">
        <v>599768.20890299999</v>
      </c>
    </row>
    <row r="90" spans="2:4">
      <c r="B90" t="s">
        <v>413</v>
      </c>
      <c r="C90" t="s">
        <v>408</v>
      </c>
      <c r="D90">
        <v>581207.63569035009</v>
      </c>
    </row>
    <row r="91" spans="2:4">
      <c r="B91" t="s">
        <v>413</v>
      </c>
      <c r="C91" t="s">
        <v>410</v>
      </c>
      <c r="D91">
        <v>451381.27613435901</v>
      </c>
    </row>
    <row r="92" spans="2:4">
      <c r="B92" t="s">
        <v>413</v>
      </c>
      <c r="C92" t="s">
        <v>411</v>
      </c>
      <c r="D92">
        <v>271660.2594827154</v>
      </c>
    </row>
    <row r="93" spans="2:4">
      <c r="B93" t="s">
        <v>413</v>
      </c>
      <c r="C93" t="s">
        <v>412</v>
      </c>
      <c r="D93">
        <v>1729366.5949160736</v>
      </c>
    </row>
    <row r="94" spans="2:4">
      <c r="B94" t="s">
        <v>414</v>
      </c>
      <c r="C94" t="s">
        <v>407</v>
      </c>
      <c r="D94">
        <v>495354.56728800002</v>
      </c>
    </row>
    <row r="95" spans="2:4">
      <c r="B95" t="s">
        <v>414</v>
      </c>
      <c r="C95" t="s">
        <v>408</v>
      </c>
      <c r="D95">
        <v>410883.04519096791</v>
      </c>
    </row>
    <row r="96" spans="2:4">
      <c r="B96" t="s">
        <v>414</v>
      </c>
      <c r="C96" t="s">
        <v>410</v>
      </c>
      <c r="D96">
        <v>437934.81453450001</v>
      </c>
    </row>
    <row r="97" spans="2:4">
      <c r="B97" t="s">
        <v>414</v>
      </c>
      <c r="C97" t="s">
        <v>411</v>
      </c>
      <c r="D97">
        <v>648297.71766299987</v>
      </c>
    </row>
    <row r="98" spans="2:4">
      <c r="B98" t="s">
        <v>414</v>
      </c>
      <c r="C98" t="s">
        <v>412</v>
      </c>
      <c r="D98">
        <v>1222752.9887609077</v>
      </c>
    </row>
    <row r="99" spans="2:4">
      <c r="B99" t="s">
        <v>415</v>
      </c>
      <c r="C99" t="s">
        <v>407</v>
      </c>
      <c r="D99">
        <v>1601632.8757250998</v>
      </c>
    </row>
    <row r="100" spans="2:4">
      <c r="B100" t="s">
        <v>415</v>
      </c>
      <c r="C100" t="s">
        <v>408</v>
      </c>
      <c r="D100">
        <v>1167264.36866325</v>
      </c>
    </row>
    <row r="101" spans="2:4">
      <c r="B101" t="s">
        <v>415</v>
      </c>
      <c r="C101" t="s">
        <v>409</v>
      </c>
      <c r="D101">
        <v>286323.51603149995</v>
      </c>
    </row>
    <row r="102" spans="2:4">
      <c r="B102" t="s">
        <v>415</v>
      </c>
      <c r="C102" t="s">
        <v>410</v>
      </c>
      <c r="D102">
        <v>662805.58728869993</v>
      </c>
    </row>
    <row r="103" spans="2:4">
      <c r="B103" t="s">
        <v>415</v>
      </c>
      <c r="C103" t="s">
        <v>411</v>
      </c>
      <c r="D103">
        <v>354213.35120938712</v>
      </c>
    </row>
    <row r="104" spans="2:4">
      <c r="B104" t="s">
        <v>415</v>
      </c>
      <c r="C104" t="s">
        <v>412</v>
      </c>
      <c r="D104">
        <v>2381540.8365435875</v>
      </c>
    </row>
    <row r="105" spans="2:4">
      <c r="B105" t="s">
        <v>416</v>
      </c>
      <c r="C105" t="s">
        <v>407</v>
      </c>
      <c r="D105">
        <v>1783784.5905194357</v>
      </c>
    </row>
    <row r="106" spans="2:4">
      <c r="B106" t="s">
        <v>416</v>
      </c>
      <c r="C106" t="s">
        <v>408</v>
      </c>
      <c r="D106">
        <v>1199384.9284253309</v>
      </c>
    </row>
    <row r="107" spans="2:4">
      <c r="B107" t="s">
        <v>416</v>
      </c>
      <c r="C107" t="s">
        <v>409</v>
      </c>
      <c r="D107">
        <v>351980.23570179095</v>
      </c>
    </row>
    <row r="108" spans="2:4">
      <c r="B108" t="s">
        <v>416</v>
      </c>
      <c r="C108" t="s">
        <v>410</v>
      </c>
      <c r="D108">
        <v>1810590.9686957148</v>
      </c>
    </row>
    <row r="109" spans="2:4">
      <c r="B109" t="s">
        <v>416</v>
      </c>
      <c r="C109" t="s">
        <v>411</v>
      </c>
      <c r="D109">
        <v>2313223.695152604</v>
      </c>
    </row>
    <row r="110" spans="2:4">
      <c r="B110" t="s">
        <v>416</v>
      </c>
      <c r="C110" t="s">
        <v>412</v>
      </c>
      <c r="D110">
        <v>1213200.1985969462</v>
      </c>
    </row>
  </sheetData>
  <phoneticPr fontId="22"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E13" sqref="E13"/>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F25" sqref="F25"/>
    </sheetView>
  </sheetViews>
  <sheetFormatPr baseColWidth="10" defaultRowHeight="15"/>
  <cols>
    <col min="1" max="1" width="14.1640625" bestFit="1" customWidth="1"/>
  </cols>
  <sheetData>
    <row r="1" spans="1:4">
      <c r="A1" s="14" t="s">
        <v>115</v>
      </c>
      <c r="B1" s="15" t="s">
        <v>120</v>
      </c>
      <c r="C1" s="15" t="s">
        <v>121</v>
      </c>
      <c r="D1" s="15" t="s">
        <v>122</v>
      </c>
    </row>
    <row r="2" spans="1:4">
      <c r="A2" s="26" t="s">
        <v>116</v>
      </c>
      <c r="B2" s="17">
        <v>45000</v>
      </c>
      <c r="C2" s="17">
        <v>44521</v>
      </c>
      <c r="D2" s="27">
        <f>C2/B2</f>
        <v>0.98935555555555554</v>
      </c>
    </row>
    <row r="3" spans="1:4">
      <c r="A3" s="26" t="s">
        <v>117</v>
      </c>
      <c r="B3" s="17">
        <v>25000</v>
      </c>
      <c r="C3" s="17">
        <v>24821</v>
      </c>
      <c r="D3" s="27">
        <f t="shared" ref="D3:D9" si="0">C3/B3</f>
        <v>0.99283999999999994</v>
      </c>
    </row>
    <row r="4" spans="1:4">
      <c r="A4" s="26" t="s">
        <v>118</v>
      </c>
      <c r="B4" s="17">
        <v>11000</v>
      </c>
      <c r="C4" s="17">
        <v>10798</v>
      </c>
      <c r="D4" s="27">
        <f t="shared" si="0"/>
        <v>0.98163636363636364</v>
      </c>
    </row>
    <row r="5" spans="1:4">
      <c r="A5" s="26" t="s">
        <v>119</v>
      </c>
      <c r="B5" s="17">
        <v>7000</v>
      </c>
      <c r="C5" s="17">
        <v>6799</v>
      </c>
      <c r="D5" s="27">
        <f t="shared" si="0"/>
        <v>0.97128571428571431</v>
      </c>
    </row>
    <row r="6" spans="1:4">
      <c r="A6" s="26" t="s">
        <v>123</v>
      </c>
      <c r="B6" s="17">
        <v>6650</v>
      </c>
      <c r="C6" s="17">
        <v>6550</v>
      </c>
      <c r="D6" s="27">
        <f t="shared" si="0"/>
        <v>0.98496240601503759</v>
      </c>
    </row>
    <row r="7" spans="1:4">
      <c r="A7" s="26" t="s">
        <v>124</v>
      </c>
      <c r="B7" s="17">
        <v>1200</v>
      </c>
      <c r="C7" s="17">
        <v>1189</v>
      </c>
      <c r="D7" s="27">
        <f t="shared" si="0"/>
        <v>0.99083333333333334</v>
      </c>
    </row>
    <row r="8" spans="1:4">
      <c r="A8" s="26" t="s">
        <v>125</v>
      </c>
      <c r="B8" s="17">
        <v>1100</v>
      </c>
      <c r="C8" s="17">
        <v>1098</v>
      </c>
      <c r="D8" s="27">
        <f t="shared" si="0"/>
        <v>0.99818181818181817</v>
      </c>
    </row>
    <row r="9" spans="1:4">
      <c r="A9" s="26" t="s">
        <v>126</v>
      </c>
      <c r="B9" s="17">
        <v>900</v>
      </c>
      <c r="C9" s="17">
        <v>893</v>
      </c>
      <c r="D9" s="27">
        <f t="shared" si="0"/>
        <v>0.99222222222222223</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EXCEL课件</vt:lpstr>
      <vt:lpstr>错位法</vt:lpstr>
      <vt:lpstr>欺骗法</vt:lpstr>
      <vt:lpstr>控制法</vt:lpstr>
      <vt:lpstr>推导法</vt:lpstr>
      <vt:lpstr>虚拟法</vt:lpstr>
      <vt:lpstr>误差法</vt:lpstr>
      <vt:lpstr>其它图表</vt:lpstr>
      <vt:lpstr>Offset动态图表</vt:lpstr>
      <vt:lpstr>我的练习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2026-09-17T02:52:19Z</dcterms:modified>
</cp:coreProperties>
</file>