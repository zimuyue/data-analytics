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ctrlProps/ctrlProp11.xml" ContentType="application/vnd.ms-excel.controlproperties+xml"/>
  <Override PartName="/xl/ctrlProps/ctrlProp12.xml" ContentType="application/vnd.ms-excel.controlproperties+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7.xml" ContentType="application/vnd.openxmlformats-officedocument.drawing+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8.xml" ContentType="application/vnd.openxmlformats-officedocument.drawingml.chartshapes+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charts/chartEx1.xml" ContentType="application/vnd.ms-office.chartex+xml"/>
  <Override PartName="/xl/charts/style25.xml" ContentType="application/vnd.ms-office.chartstyle+xml"/>
  <Override PartName="/xl/charts/colors25.xml" ContentType="application/vnd.ms-office.chartcolorstyle+xml"/>
  <Override PartName="/xl/drawings/drawing9.xml" ContentType="application/vnd.openxmlformats-officedocument.drawing+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0.xml" ContentType="application/vnd.openxmlformats-officedocument.drawing+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30"/>
  <workbookPr codeName="ThisWorkbook" defaultThemeVersion="124226"/>
  <mc:AlternateContent xmlns:mc="http://schemas.openxmlformats.org/markup-compatibility/2006">
    <mc:Choice Requires="x15">
      <x15ac:absPath xmlns:x15ac="http://schemas.microsoft.com/office/spreadsheetml/2010/11/ac" url="/Users/zimu/Documents/data-analytics/excel/"/>
    </mc:Choice>
  </mc:AlternateContent>
  <xr:revisionPtr revIDLastSave="0" documentId="13_ncr:1_{C4EDF4C8-299C-4F45-9D00-7F2A03580EB0}" xr6:coauthVersionLast="47" xr6:coauthVersionMax="47" xr10:uidLastSave="{00000000-0000-0000-0000-000000000000}"/>
  <bookViews>
    <workbookView xWindow="0" yWindow="660" windowWidth="29400" windowHeight="18460" activeTab="8" xr2:uid="{00000000-000D-0000-FFFF-FFFF00000000}"/>
  </bookViews>
  <sheets>
    <sheet name="EXCEL课件" sheetId="1" r:id="rId1"/>
    <sheet name="错位法" sheetId="5" r:id="rId2"/>
    <sheet name="欺骗法" sheetId="6" r:id="rId3"/>
    <sheet name="控制法" sheetId="7" r:id="rId4"/>
    <sheet name="推导法" sheetId="8" r:id="rId5"/>
    <sheet name="虚拟法" sheetId="9" r:id="rId6"/>
    <sheet name="误差法" sheetId="10" r:id="rId7"/>
    <sheet name="其它图表" sheetId="11" r:id="rId8"/>
    <sheet name="Offset动态图表" sheetId="2" r:id="rId9"/>
    <sheet name="我的练习" sheetId="4" r:id="rId10"/>
  </sheets>
  <definedNames>
    <definedName name="_xlchart.v1.0" hidden="1">其它图表!$B$83:$C$110</definedName>
    <definedName name="_xlchart.v1.1" hidden="1">其它图表!$D$82</definedName>
    <definedName name="_xlchart.v1.2" hidden="1">其它图表!$D$83:$D$110</definedName>
    <definedName name="最后五天开盘价" localSheetId="8">OFFSET(Offset动态图表!$B$1,COUNTA(Offset动态图表!$B:$B)-5,0,5,1)</definedName>
    <definedName name="最后五天日期" localSheetId="8">OFFSET(Offset动态图表!$A$1,COUNTA(Offset动态图表!$A:$A)-5,0,5,1)</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1" l="1"/>
  <c r="D7" i="11"/>
  <c r="D8" i="11"/>
  <c r="D5" i="11"/>
  <c r="C49" i="10" l="1"/>
  <c r="C50" i="10"/>
  <c r="C51" i="10"/>
  <c r="C52" i="10"/>
  <c r="C53" i="10"/>
  <c r="C54" i="10"/>
  <c r="C55" i="10"/>
  <c r="C56" i="10"/>
  <c r="C57" i="10"/>
  <c r="C58" i="10"/>
  <c r="C59" i="10"/>
  <c r="C48" i="10"/>
  <c r="B49" i="10"/>
  <c r="B50" i="10"/>
  <c r="B51" i="10"/>
  <c r="B52" i="10"/>
  <c r="B53" i="10"/>
  <c r="B54" i="10"/>
  <c r="B55" i="10"/>
  <c r="B56" i="10"/>
  <c r="B57" i="10"/>
  <c r="B58" i="10"/>
  <c r="B59" i="10"/>
  <c r="B48" i="10"/>
  <c r="A49" i="10"/>
  <c r="A50" i="10"/>
  <c r="A51" i="10"/>
  <c r="A52" i="10"/>
  <c r="A53" i="10"/>
  <c r="A54" i="10"/>
  <c r="A55" i="10"/>
  <c r="A56" i="10"/>
  <c r="A57" i="10"/>
  <c r="A58" i="10"/>
  <c r="A59" i="10"/>
  <c r="A48" i="10"/>
  <c r="C24" i="10"/>
  <c r="C25" i="10"/>
  <c r="C26" i="10"/>
  <c r="C27" i="10"/>
  <c r="C28" i="10"/>
  <c r="C29" i="10"/>
  <c r="C30" i="10"/>
  <c r="C31" i="10"/>
  <c r="C32" i="10"/>
  <c r="C33" i="10"/>
  <c r="C34" i="10"/>
  <c r="C23" i="10"/>
  <c r="B44" i="9" l="1"/>
  <c r="C47" i="9"/>
  <c r="B47" i="9"/>
  <c r="A48" i="9"/>
  <c r="A49" i="9" s="1"/>
  <c r="A50" i="9" s="1"/>
  <c r="A51" i="9" s="1"/>
  <c r="A52" i="9" s="1"/>
  <c r="A53" i="9" s="1"/>
  <c r="A54" i="9" s="1"/>
  <c r="A55" i="9" s="1"/>
  <c r="A56" i="9" s="1"/>
  <c r="A57" i="9" s="1"/>
  <c r="A58" i="9" s="1"/>
  <c r="A59" i="9" s="1"/>
  <c r="A60" i="9" s="1"/>
  <c r="A61" i="9" s="1"/>
  <c r="A62" i="9" s="1"/>
  <c r="A63" i="9" s="1"/>
  <c r="A64" i="9" s="1"/>
  <c r="A65" i="9" s="1"/>
  <c r="A66" i="9" s="1"/>
  <c r="A67" i="9" s="1"/>
  <c r="B67" i="9" s="1"/>
  <c r="C24" i="8"/>
  <c r="E25" i="8" s="1"/>
  <c r="E26" i="8" s="1"/>
  <c r="E27" i="8" s="1"/>
  <c r="E28" i="8" s="1"/>
  <c r="E29" i="8" s="1"/>
  <c r="E30" i="8" s="1"/>
  <c r="C25" i="8"/>
  <c r="C27" i="8"/>
  <c r="C28" i="8"/>
  <c r="C29" i="8"/>
  <c r="C26" i="8"/>
  <c r="B3" i="8"/>
  <c r="B4" i="8"/>
  <c r="B5" i="8"/>
  <c r="B6" i="8"/>
  <c r="B7" i="8"/>
  <c r="B8" i="8"/>
  <c r="B9" i="8"/>
  <c r="B10" i="8"/>
  <c r="B11" i="8"/>
  <c r="B2" i="8"/>
  <c r="D47" i="7" a="1"/>
  <c r="D47" i="7" s="1"/>
  <c r="E47" i="7" a="1"/>
  <c r="E47" i="7" s="1"/>
  <c r="D48" i="7" a="1"/>
  <c r="D48" i="7" s="1"/>
  <c r="E48" i="7" a="1"/>
  <c r="E48" i="7" s="1"/>
  <c r="D49" i="7" a="1"/>
  <c r="D49" i="7" s="1"/>
  <c r="E49" i="7" a="1"/>
  <c r="E49" i="7" s="1"/>
  <c r="D50" i="7" a="1"/>
  <c r="D50" i="7" s="1"/>
  <c r="E50" i="7" a="1"/>
  <c r="E50" i="7" s="1"/>
  <c r="D51" i="7" a="1"/>
  <c r="D51" i="7" s="1"/>
  <c r="E51" i="7" a="1"/>
  <c r="E51" i="7" s="1"/>
  <c r="D52" i="7" a="1"/>
  <c r="D52" i="7" s="1"/>
  <c r="E52" i="7" a="1"/>
  <c r="E52" i="7" s="1"/>
  <c r="D53" i="7" a="1"/>
  <c r="D53" i="7" s="1"/>
  <c r="E53" i="7" a="1"/>
  <c r="E53" i="7" s="1"/>
  <c r="D54" i="7" a="1"/>
  <c r="D54" i="7" s="1"/>
  <c r="E54" i="7" a="1"/>
  <c r="E54" i="7" s="1"/>
  <c r="D55" i="7" a="1"/>
  <c r="D55" i="7" s="1"/>
  <c r="E55" i="7" a="1"/>
  <c r="E55" i="7" s="1"/>
  <c r="E46" i="7" a="1"/>
  <c r="E46" i="7" s="1"/>
  <c r="D46" i="7" a="1"/>
  <c r="D46" i="7" s="1"/>
  <c r="C44" i="9" l="1"/>
  <c r="D44" i="9" s="1"/>
  <c r="D47" i="9"/>
  <c r="C66" i="9"/>
  <c r="B57" i="9"/>
  <c r="C56" i="9"/>
  <c r="B56" i="9"/>
  <c r="C65" i="9"/>
  <c r="C55" i="9"/>
  <c r="B55" i="9"/>
  <c r="C64" i="9"/>
  <c r="C54" i="9"/>
  <c r="C50" i="9"/>
  <c r="B64" i="9"/>
  <c r="B50" i="9"/>
  <c r="C59" i="9"/>
  <c r="C49" i="9"/>
  <c r="B54" i="9"/>
  <c r="C63" i="9"/>
  <c r="C53" i="9"/>
  <c r="C52" i="9"/>
  <c r="B52" i="9"/>
  <c r="B65" i="9"/>
  <c r="B51" i="9"/>
  <c r="B63" i="9"/>
  <c r="C58" i="9"/>
  <c r="C48" i="9"/>
  <c r="B53" i="9"/>
  <c r="C62" i="9"/>
  <c r="B66" i="9"/>
  <c r="D66" i="9" s="1"/>
  <c r="C61" i="9"/>
  <c r="C51" i="9"/>
  <c r="C60" i="9"/>
  <c r="B62" i="9"/>
  <c r="C67" i="9"/>
  <c r="D67" i="9" s="1"/>
  <c r="C57" i="9"/>
  <c r="B61" i="9"/>
  <c r="B60" i="9"/>
  <c r="B59" i="9"/>
  <c r="B49" i="9"/>
  <c r="B58" i="9"/>
  <c r="B48" i="9"/>
  <c r="B28" i="7"/>
  <c r="C28" i="7"/>
  <c r="D28" i="7"/>
  <c r="E28" i="7"/>
  <c r="B29" i="7"/>
  <c r="C29" i="7"/>
  <c r="D29" i="7"/>
  <c r="E29" i="7"/>
  <c r="B30" i="7"/>
  <c r="C30" i="7"/>
  <c r="D30" i="7"/>
  <c r="E30" i="7"/>
  <c r="B31" i="7"/>
  <c r="C31" i="7"/>
  <c r="D31" i="7"/>
  <c r="E31" i="7"/>
  <c r="B32" i="7"/>
  <c r="C32" i="7"/>
  <c r="D32" i="7"/>
  <c r="E32" i="7"/>
  <c r="B33" i="7"/>
  <c r="C33" i="7"/>
  <c r="D33" i="7"/>
  <c r="E33" i="7"/>
  <c r="B34" i="7"/>
  <c r="C34" i="7"/>
  <c r="D34" i="7"/>
  <c r="E34" i="7"/>
  <c r="B35" i="7"/>
  <c r="C35" i="7"/>
  <c r="D35" i="7"/>
  <c r="E35" i="7"/>
  <c r="B36" i="7"/>
  <c r="C36" i="7"/>
  <c r="D36" i="7"/>
  <c r="E36" i="7"/>
  <c r="B37" i="7"/>
  <c r="C37" i="7"/>
  <c r="D37" i="7"/>
  <c r="E37" i="7"/>
  <c r="B38" i="7"/>
  <c r="C38" i="7"/>
  <c r="D38" i="7"/>
  <c r="E38" i="7"/>
  <c r="B39" i="7"/>
  <c r="C39" i="7"/>
  <c r="D39" i="7"/>
  <c r="E39" i="7"/>
  <c r="F1" i="7" a="1"/>
  <c r="F1" i="7" s="1"/>
  <c r="I2" i="7" a="1"/>
  <c r="I2" i="7" s="1"/>
  <c r="I3" i="7" a="1"/>
  <c r="I3" i="7" s="1"/>
  <c r="I4" i="7" a="1"/>
  <c r="I4" i="7" s="1"/>
  <c r="I5" i="7" a="1"/>
  <c r="I5" i="7" s="1"/>
  <c r="I6" i="7" a="1"/>
  <c r="I6" i="7" s="1"/>
  <c r="I7" i="7" a="1"/>
  <c r="I7" i="7" s="1"/>
  <c r="I8" i="7" a="1"/>
  <c r="I8" i="7" s="1"/>
  <c r="I9" i="7" a="1"/>
  <c r="I9" i="7" s="1"/>
  <c r="I10" i="7" a="1"/>
  <c r="I10" i="7" s="1"/>
  <c r="I11" i="7" a="1"/>
  <c r="I11" i="7" s="1"/>
  <c r="I12" i="7" a="1"/>
  <c r="I12" i="7" s="1"/>
  <c r="I13" i="7" a="1"/>
  <c r="I13" i="7" s="1"/>
  <c r="I1" i="7" a="1"/>
  <c r="I1" i="7" s="1"/>
  <c r="C69" i="6"/>
  <c r="C70" i="6"/>
  <c r="C71" i="6"/>
  <c r="C72" i="6"/>
  <c r="C73" i="6"/>
  <c r="C74" i="6"/>
  <c r="C75" i="6"/>
  <c r="C76" i="6"/>
  <c r="C77" i="6"/>
  <c r="D69" i="6"/>
  <c r="D70" i="6"/>
  <c r="D71" i="6"/>
  <c r="D72" i="6"/>
  <c r="D73" i="6"/>
  <c r="D74" i="6"/>
  <c r="D75" i="6"/>
  <c r="D76" i="6"/>
  <c r="D77" i="6"/>
  <c r="E50" i="6"/>
  <c r="E51" i="6"/>
  <c r="E52" i="6"/>
  <c r="E53" i="6"/>
  <c r="E54" i="6"/>
  <c r="E55" i="6"/>
  <c r="E56" i="6"/>
  <c r="E57" i="6"/>
  <c r="E58" i="6"/>
  <c r="E49" i="6"/>
  <c r="D59" i="6"/>
  <c r="C59" i="6"/>
  <c r="D58" i="6"/>
  <c r="C58" i="6"/>
  <c r="D57" i="6"/>
  <c r="C57" i="6"/>
  <c r="D56" i="6"/>
  <c r="C56" i="6"/>
  <c r="D55" i="6"/>
  <c r="C55" i="6"/>
  <c r="D54" i="6"/>
  <c r="C54" i="6"/>
  <c r="D53" i="6"/>
  <c r="C53" i="6"/>
  <c r="D52" i="6"/>
  <c r="C52" i="6"/>
  <c r="D51" i="6"/>
  <c r="C51" i="6"/>
  <c r="D50" i="6"/>
  <c r="C50" i="6"/>
  <c r="D49" i="6"/>
  <c r="C49" i="6"/>
  <c r="D48" i="6"/>
  <c r="C48" i="6"/>
  <c r="E10" i="6"/>
  <c r="E9" i="6"/>
  <c r="E8" i="6"/>
  <c r="E7" i="6"/>
  <c r="E6" i="6"/>
  <c r="E5" i="6"/>
  <c r="E4" i="6"/>
  <c r="E3" i="6"/>
  <c r="E2" i="6"/>
  <c r="D53" i="9" l="1"/>
  <c r="D54" i="9"/>
  <c r="D57" i="9"/>
  <c r="D60" i="9"/>
  <c r="D65" i="9"/>
  <c r="D58" i="9"/>
  <c r="D59" i="9"/>
  <c r="D56" i="9"/>
  <c r="D55" i="9"/>
  <c r="D48" i="9"/>
  <c r="D49" i="9"/>
  <c r="D50" i="9"/>
  <c r="D64" i="9"/>
  <c r="D62" i="9"/>
  <c r="D63" i="9"/>
  <c r="D51" i="9"/>
  <c r="D61" i="9"/>
  <c r="D52" i="9"/>
  <c r="J9" i="7"/>
  <c r="J7" i="7"/>
  <c r="J8" i="7"/>
  <c r="J5" i="7"/>
  <c r="J12" i="7"/>
  <c r="J4" i="7"/>
  <c r="J13" i="7"/>
  <c r="J3" i="7"/>
  <c r="J2" i="7"/>
  <c r="J11" i="7"/>
  <c r="J10" i="7"/>
  <c r="J6" i="7"/>
  <c r="C61" i="5"/>
  <c r="C60" i="5"/>
  <c r="C59" i="5"/>
  <c r="C58" i="5"/>
  <c r="C57" i="5"/>
  <c r="C56" i="5"/>
  <c r="D3" i="4"/>
  <c r="D4" i="4"/>
  <c r="D5" i="4"/>
  <c r="D6" i="4"/>
  <c r="D7" i="4"/>
  <c r="D8" i="4"/>
  <c r="D9" i="4"/>
  <c r="D2" i="4"/>
  <c r="D13" i="2" a="1"/>
  <c r="D13" i="2" s="1"/>
  <c r="C13" i="2" a="1"/>
  <c r="C13"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<sst xmlns="http://schemas.openxmlformats.org/spreadsheetml/2006/main" count="591" uniqueCount="417">
  <si>
    <t>一、</t>
    <phoneticPr fontId="1" type="noConversion"/>
  </si>
  <si>
    <t>二、</t>
    <phoneticPr fontId="1" type="noConversion"/>
  </si>
  <si>
    <t>设置菜单目录-插入-形状-设计样式-查找和选择-选择对象-形状格式-对齐方式</t>
    <phoneticPr fontId="1" type="noConversion"/>
  </si>
  <si>
    <t>右键图形-超链接-此文档内选择对应sheet表-在对应的表内设置选中背景色</t>
    <phoneticPr fontId="1" type="noConversion"/>
  </si>
  <si>
    <t>1、Offset函数概述</t>
    <phoneticPr fontId="1" type="noConversion"/>
  </si>
  <si>
    <t xml:space="preserve">利用Offset函数与控件创建动态图表
</t>
    <phoneticPr fontId="1" type="noConversion"/>
  </si>
  <si>
    <t>OFFSET(ref*,rows*,column*,height,width)</t>
    <phoneticPr fontId="1" type="noConversion"/>
  </si>
  <si>
    <t>指定行列数返回单元格或单元格区域中的引用</t>
  </si>
  <si>
    <t>参数1:</t>
    <phoneticPr fontId="1" type="noConversion"/>
  </si>
  <si>
    <t>参数2:</t>
    <phoneticPr fontId="1" type="noConversion"/>
  </si>
  <si>
    <t>参数3:</t>
    <phoneticPr fontId="1" type="noConversion"/>
  </si>
  <si>
    <t>参数4:</t>
    <phoneticPr fontId="1" type="noConversion"/>
  </si>
  <si>
    <t>引用区域*</t>
    <phoneticPr fontId="1" type="noConversion"/>
  </si>
  <si>
    <t>按行偏移*</t>
    <phoneticPr fontId="1" type="noConversion"/>
  </si>
  <si>
    <t>按列偏移*</t>
    <phoneticPr fontId="1" type="noConversion"/>
  </si>
  <si>
    <t>参数5:</t>
    <phoneticPr fontId="1" type="noConversion"/>
  </si>
  <si>
    <t>返回值列宽</t>
    <phoneticPr fontId="1" type="noConversion"/>
  </si>
  <si>
    <t>返回值行高</t>
    <phoneticPr fontId="1" type="noConversion"/>
  </si>
  <si>
    <t>2、生成动态图表</t>
    <phoneticPr fontId="1" type="noConversion"/>
  </si>
  <si>
    <t>日期</t>
  </si>
  <si>
    <t>开盘价</t>
  </si>
  <si>
    <t>OFFSET+定义名称+插入图表</t>
    <phoneticPr fontId="1" type="noConversion"/>
  </si>
  <si>
    <t>选择空白单元格插入空白图表-右键选择数据-数据来源选择当前表-定义的名称</t>
    <phoneticPr fontId="1" type="noConversion"/>
  </si>
  <si>
    <t>水平轴-右键选择数据-水平轴标签-更改为横坐标日期</t>
    <phoneticPr fontId="1" type="noConversion"/>
  </si>
  <si>
    <t>例如配合COUNTA排除标题行 动态获取某列数据</t>
    <phoneticPr fontId="1" type="noConversion"/>
  </si>
  <si>
    <t>图表动态标题-选择插入图表的标题-在公式栏-选择某个单元格文本</t>
    <phoneticPr fontId="1" type="noConversion"/>
  </si>
  <si>
    <t>部门</t>
  </si>
  <si>
    <t>A产品</t>
  </si>
  <si>
    <t>B产品</t>
  </si>
  <si>
    <t>销售一部</t>
  </si>
  <si>
    <t>销售二部</t>
  </si>
  <si>
    <t>销售三部</t>
  </si>
  <si>
    <t>1月</t>
  </si>
  <si>
    <t>2月</t>
  </si>
  <si>
    <t>3月</t>
  </si>
  <si>
    <t>4月</t>
  </si>
  <si>
    <t>5月</t>
  </si>
  <si>
    <t>6月</t>
  </si>
  <si>
    <t>7月</t>
  </si>
  <si>
    <t>8月</t>
  </si>
  <si>
    <t>全年计划</t>
  </si>
  <si>
    <t>销售四部</t>
  </si>
  <si>
    <t>一月</t>
  </si>
  <si>
    <t>二月</t>
  </si>
  <si>
    <t>三月</t>
  </si>
  <si>
    <t>订购日期</t>
  </si>
  <si>
    <t>销售额</t>
  </si>
  <si>
    <t>最大值</t>
  </si>
  <si>
    <t>最小值</t>
  </si>
  <si>
    <t>斜线</t>
  </si>
  <si>
    <t>9月</t>
  </si>
  <si>
    <t>10月</t>
  </si>
  <si>
    <t>11月</t>
  </si>
  <si>
    <t>12月</t>
  </si>
  <si>
    <t>总计</t>
  </si>
  <si>
    <t>天数</t>
  </si>
  <si>
    <t>计划开始日</t>
  </si>
  <si>
    <t>项目确定</t>
  </si>
  <si>
    <t>问卷设计</t>
  </si>
  <si>
    <t>试访</t>
  </si>
  <si>
    <t>问卷确定</t>
  </si>
  <si>
    <t>实地执行</t>
  </si>
  <si>
    <t>数据录入</t>
  </si>
  <si>
    <t>数据分析</t>
  </si>
  <si>
    <t>报告提交</t>
  </si>
  <si>
    <t>地区</t>
  </si>
  <si>
    <t>营业额（万）</t>
  </si>
  <si>
    <t>指标完成度</t>
  </si>
  <si>
    <t>北京</t>
  </si>
  <si>
    <t>上海</t>
  </si>
  <si>
    <t>广州</t>
  </si>
  <si>
    <t>深圳</t>
  </si>
  <si>
    <t>成都</t>
  </si>
  <si>
    <t>出口</t>
  </si>
  <si>
    <t>内销</t>
  </si>
  <si>
    <t>2011年</t>
  </si>
  <si>
    <t>2010年</t>
  </si>
  <si>
    <t>2009年</t>
  </si>
  <si>
    <t>2008年</t>
  </si>
  <si>
    <t>2007年</t>
  </si>
  <si>
    <t>2006年</t>
  </si>
  <si>
    <t>四月</t>
  </si>
  <si>
    <t>五月</t>
  </si>
  <si>
    <t>六月</t>
  </si>
  <si>
    <t>七月</t>
  </si>
  <si>
    <t>八月</t>
  </si>
  <si>
    <t>九月</t>
  </si>
  <si>
    <t>1月 金山云与马上消费金融达成战略合作 共缔金融生态圈</t>
  </si>
  <si>
    <t>2月 IDC：金山云稳居2019 Q3 中国公有云互联网前三</t>
  </si>
  <si>
    <t>3月 金山云边缘计算助力爱奇艺，冲进30毫秒高速区</t>
  </si>
  <si>
    <t>3月 金山云直播加速产品入围“科技冬奥、智慧北京”十佳名单</t>
  </si>
  <si>
    <t>3月 数字化助力，“新基建”蓝图初显</t>
  </si>
  <si>
    <t>5月 金山云纳斯达克敲钟上市 不负时代的机遇</t>
  </si>
  <si>
    <t>5月 金山云上市首日股价涨超40％ 迎来高光时刻</t>
  </si>
  <si>
    <t>5月 “All in”云服务 金山云登陆纳斯达克</t>
  </si>
  <si>
    <t>6月 一图看懂金山云2020年Q1财报</t>
  </si>
  <si>
    <t>7月 首批！金山云获得可信金融云解决方案认证</t>
  </si>
  <si>
    <t>高度</t>
    <phoneticPr fontId="1" type="noConversion"/>
  </si>
  <si>
    <t>产品</t>
  </si>
  <si>
    <t>市场份额（X轴）</t>
  </si>
  <si>
    <t>成长率（Y轴）</t>
  </si>
  <si>
    <t>三、</t>
    <phoneticPr fontId="1" type="noConversion"/>
  </si>
  <si>
    <t>1、错位法（全部数据）</t>
    <phoneticPr fontId="1" type="noConversion"/>
  </si>
  <si>
    <t>2、欺骗法（全部数据）</t>
    <phoneticPr fontId="1" type="noConversion"/>
  </si>
  <si>
    <t>3、控制法（部分数据）</t>
    <phoneticPr fontId="1" type="noConversion"/>
  </si>
  <si>
    <t>4、推导法（少量数据）</t>
    <phoneticPr fontId="1" type="noConversion"/>
  </si>
  <si>
    <t>5、虚拟法（无数据）</t>
    <phoneticPr fontId="1" type="noConversion"/>
  </si>
  <si>
    <t>6、误差法（少量数据）</t>
    <phoneticPr fontId="1" type="noConversion"/>
  </si>
  <si>
    <t>a.图表是由哪些基本元素组成的</t>
    <phoneticPr fontId="1" type="noConversion"/>
  </si>
  <si>
    <t>b.在这些元素里重点是坐标轴对象</t>
    <phoneticPr fontId="1" type="noConversion"/>
  </si>
  <si>
    <t>拼积木游戏 例柱状图包含标题、纵坐标数值轴、横坐标分类轴、中间数据项、网格线</t>
    <phoneticPr fontId="1" type="noConversion"/>
  </si>
  <si>
    <t>元素都包含哪些？图表设计-添加图表元素-所有的元素选项</t>
    <phoneticPr fontId="1" type="noConversion"/>
  </si>
  <si>
    <t>选择纵坐标或横坐标-右键-设置坐标轴格式</t>
    <phoneticPr fontId="1" type="noConversion"/>
  </si>
  <si>
    <t>主要与次要的刻度单位是用来区分主次网格线</t>
    <phoneticPr fontId="1" type="noConversion"/>
  </si>
  <si>
    <t>为什么坐标轴要区分主次的概念？</t>
    <phoneticPr fontId="1" type="noConversion"/>
  </si>
  <si>
    <t>城市</t>
    <phoneticPr fontId="1" type="noConversion"/>
  </si>
  <si>
    <t>新乡合并经营</t>
    <phoneticPr fontId="1" type="noConversion"/>
  </si>
  <si>
    <t>川汇区</t>
    <phoneticPr fontId="1" type="noConversion"/>
  </si>
  <si>
    <t>兖州区</t>
    <phoneticPr fontId="1" type="noConversion"/>
  </si>
  <si>
    <t>项城</t>
    <phoneticPr fontId="1" type="noConversion"/>
  </si>
  <si>
    <t>推单量</t>
    <phoneticPr fontId="1" type="noConversion"/>
  </si>
  <si>
    <t>妥投单</t>
    <phoneticPr fontId="1" type="noConversion"/>
  </si>
  <si>
    <t>妥投率</t>
    <phoneticPr fontId="1" type="noConversion"/>
  </si>
  <si>
    <t>辉县</t>
    <phoneticPr fontId="1" type="noConversion"/>
  </si>
  <si>
    <t>新乡</t>
    <phoneticPr fontId="1" type="noConversion"/>
  </si>
  <si>
    <t>卫辉</t>
    <phoneticPr fontId="1" type="noConversion"/>
  </si>
  <si>
    <t>延津</t>
    <phoneticPr fontId="1" type="noConversion"/>
  </si>
  <si>
    <t>如果图表中数据项难以选中-图表格式-左侧的下拉项筛选图表中已有的元素-设置所选内容格式-切换主次坐标</t>
    <phoneticPr fontId="1" type="noConversion"/>
  </si>
  <si>
    <t>主次坐标重叠出现遮挡-右键次坐标数据系列-更改图标类型</t>
    <phoneticPr fontId="1" type="noConversion"/>
  </si>
  <si>
    <t>两组数据出现差异过大 无法在同一个图表中显示</t>
    <phoneticPr fontId="1" type="noConversion"/>
  </si>
  <si>
    <t>调整坐标轴的边界值会对图表造成很大的展示影响 边界=范围</t>
    <phoneticPr fontId="1" type="noConversion"/>
  </si>
  <si>
    <t>压缩某一数据系列设置它的最大值要加上范围内差值 然后设置横坐标的交叉点位</t>
    <phoneticPr fontId="1" type="noConversion"/>
  </si>
  <si>
    <t>a.插入簇状柱形图-右键数据系列-设置数据系列格式-系列选项-系列重叠设置100%</t>
    <phoneticPr fontId="1" type="noConversion"/>
  </si>
  <si>
    <t>b.右键目标数据系列选项-填充色选择无填充-边框选择实线-边框线红颜色</t>
    <phoneticPr fontId="1" type="noConversion"/>
  </si>
  <si>
    <t>c.设置系列数据宽度-调整系列间隙</t>
    <phoneticPr fontId="1" type="noConversion"/>
  </si>
  <si>
    <t>1. 使用重叠的特性制作进度图</t>
    <phoneticPr fontId="1" type="noConversion"/>
  </si>
  <si>
    <t>a.插入组合图表-图表格式-左侧下拉项-选择对应的系列数据</t>
    <phoneticPr fontId="1" type="noConversion"/>
  </si>
  <si>
    <t>b.设置数据系列格式-次坐标轴</t>
    <phoneticPr fontId="1" type="noConversion"/>
  </si>
  <si>
    <t>2. 调整主次坐标制作双坐标轴组合图</t>
    <phoneticPr fontId="1" type="noConversion"/>
  </si>
  <si>
    <t>3. 双图对比</t>
    <phoneticPr fontId="1" type="noConversion"/>
  </si>
  <si>
    <t>a.插入簇状柱形图-选中数据系列-设置数据系列格式-次坐标轴</t>
    <phoneticPr fontId="1" type="noConversion"/>
  </si>
  <si>
    <t>b.压缩蓝柱的范围占比50%以下-设置坐标轴格式-边界值0-200-单位刻度20</t>
    <phoneticPr fontId="1" type="noConversion"/>
  </si>
  <si>
    <t>c.设置红柱的坐标轴格式-边界值0-1-横坐标轴交叉-坐标轴的值设置为0.6</t>
    <phoneticPr fontId="1" type="noConversion"/>
  </si>
  <si>
    <t>4. 旋风图</t>
    <phoneticPr fontId="1" type="noConversion"/>
  </si>
  <si>
    <t>a.插入条形图-设置红柱作为次坐标轴-将红柱坐标轴设置为逆序刻度值</t>
    <phoneticPr fontId="1" type="noConversion"/>
  </si>
  <si>
    <t>b.将0值作为中间值-设置主次坐标轴边界值为正负1-设置数字格式去除负号</t>
    <phoneticPr fontId="1" type="noConversion"/>
  </si>
  <si>
    <t>c.设置分类标题右侧展示-设置坐标轴格式-标签-标签位置-高</t>
    <phoneticPr fontId="1" type="noConversion"/>
  </si>
  <si>
    <t>5. 垂直倒影对比图</t>
    <phoneticPr fontId="1" type="noConversion"/>
  </si>
  <si>
    <t>a.重复双图对比步骤</t>
    <phoneticPr fontId="1" type="noConversion"/>
  </si>
  <si>
    <t>e.添加垂直网格线-设置背景图案</t>
    <phoneticPr fontId="1" type="noConversion"/>
  </si>
  <si>
    <t>d.添加坐标轴-次要横坐标轴-重新设置坐标轴值0.6</t>
    <phoneticPr fontId="1" type="noConversion"/>
  </si>
  <si>
    <t>b.设置主坐标轴为逆序刻度值-边界值范围0-100-坐标轴值40</t>
    <phoneticPr fontId="1" type="noConversion"/>
  </si>
  <si>
    <t>c.设置次坐标轴-边界值范围50-100-坐标轴值80</t>
    <phoneticPr fontId="1" type="noConversion"/>
  </si>
  <si>
    <t>a.通过调整数据系列来实现</t>
    <phoneticPr fontId="1" type="noConversion"/>
  </si>
  <si>
    <t>c.通过调整坐标轴错位来实现</t>
    <phoneticPr fontId="1" type="noConversion"/>
  </si>
  <si>
    <t>1. 使用堆积柱形图</t>
    <phoneticPr fontId="1" type="noConversion"/>
  </si>
  <si>
    <t>a.插入堆积柱形图-添加线条元素区分不明显的区域对比</t>
    <phoneticPr fontId="1" type="noConversion"/>
  </si>
  <si>
    <t>b.图表设计-切换行列展示不同的维度</t>
    <phoneticPr fontId="1" type="noConversion"/>
  </si>
  <si>
    <t>c.显示总计-添加辅助列总计求和-设置数据系列格式-总计以折线图显示-设置无线条</t>
    <phoneticPr fontId="1" type="noConversion"/>
  </si>
  <si>
    <t>2. 堆积柱形图占比</t>
    <phoneticPr fontId="1" type="noConversion"/>
  </si>
  <si>
    <t>a.重复以上步骤</t>
    <phoneticPr fontId="1" type="noConversion"/>
  </si>
  <si>
    <t>b.选择数据-添加系列数据-空值用来占位-更改总计数据系列与新系列簇状柱形图</t>
    <phoneticPr fontId="1" type="noConversion"/>
  </si>
  <si>
    <t>c.选项卡-格式-左侧下拉项选中新增系列-无填充无线条</t>
    <phoneticPr fontId="1" type="noConversion"/>
  </si>
  <si>
    <t>3. 甘特图任务进度图</t>
    <phoneticPr fontId="1" type="noConversion"/>
  </si>
  <si>
    <t>a.插入堆积条形图-选中日期数据系列-无填充无线条</t>
    <phoneticPr fontId="1" type="noConversion"/>
  </si>
  <si>
    <t>b.设置日期坐标轴格式-边界选择最大与最小日期数值</t>
    <phoneticPr fontId="1" type="noConversion"/>
  </si>
  <si>
    <t>c.设置纵坐标轴-逆序类别</t>
    <phoneticPr fontId="1" type="noConversion"/>
  </si>
  <si>
    <t>4. 水平趋势线</t>
    <phoneticPr fontId="1" type="noConversion"/>
  </si>
  <si>
    <t>a.创建辅助列数据在图表上生成三条标记线</t>
    <phoneticPr fontId="1" type="noConversion"/>
  </si>
  <si>
    <t>b.搭配MAX+MIN函数生成区域线 趋势线中心水平线用数据中最大与最小值表示数据趋势</t>
    <phoneticPr fontId="1" type="noConversion"/>
  </si>
  <si>
    <t>c.插入折线图-选择数据-隐藏和清空单元格-空单元格显示为-用直线连接数据点</t>
    <phoneticPr fontId="1" type="noConversion"/>
  </si>
  <si>
    <t>5. 动态最大最小值</t>
    <phoneticPr fontId="1" type="noConversion"/>
  </si>
  <si>
    <t>a.创建辅助列数据生成最大值和最小值-插入折线图</t>
    <phoneticPr fontId="1" type="noConversion"/>
  </si>
  <si>
    <t>c.创建“不可能”的布局</t>
    <phoneticPr fontId="1" type="noConversion"/>
  </si>
  <si>
    <t>b.添加“不存在”的对象</t>
    <phoneticPr fontId="1" type="noConversion"/>
  </si>
  <si>
    <t>d.生成“不确定”的数据</t>
    <phoneticPr fontId="1" type="noConversion"/>
  </si>
  <si>
    <t>a.通过开发工具 表单控件来操作图表</t>
    <phoneticPr fontId="1" type="noConversion"/>
  </si>
  <si>
    <t>宠物用品</t>
  </si>
  <si>
    <t>警告标</t>
  </si>
  <si>
    <t>暖靴</t>
  </si>
  <si>
    <t>1. 单选按钮动态切换图表</t>
    <phoneticPr fontId="1" type="noConversion"/>
  </si>
  <si>
    <t>a.开发工具-选项按钮-添加后选择对象-框选所有-格式-对齐方式-顶部对齐横向分散-组合</t>
    <phoneticPr fontId="1" type="noConversion"/>
  </si>
  <si>
    <t>彩盒</t>
    <phoneticPr fontId="1" type="noConversion"/>
  </si>
  <si>
    <t>b.选中控件-右键设置控件格式-单元格链接-设置显示的值到哪个单元格</t>
    <phoneticPr fontId="1" type="noConversion"/>
  </si>
  <si>
    <t>最大值</t>
    <phoneticPr fontId="1" type="noConversion"/>
  </si>
  <si>
    <t>c.配合index函数动态取数-补充最大值列</t>
    <phoneticPr fontId="1" type="noConversion"/>
  </si>
  <si>
    <t>b.设置最大值和最小值标记样式-无线条-标记内置类型-无填充添加数据标题</t>
    <phoneticPr fontId="1" type="noConversion"/>
  </si>
  <si>
    <t>d.插入折线图-重复欺骗5图表步骤-最后将控件与图表组合</t>
    <phoneticPr fontId="1" type="noConversion"/>
  </si>
  <si>
    <t>2. 多选按钮动态切换图表</t>
    <phoneticPr fontId="1" type="noConversion"/>
  </si>
  <si>
    <t>a.开发工具-复选框-CONTROL+拖拽批量生成复选框-单元格链接值</t>
    <phoneticPr fontId="1" type="noConversion"/>
  </si>
  <si>
    <t>b.通过混合引用+IF判断+NA函数组合数据-插入折线图</t>
    <phoneticPr fontId="1" type="noConversion"/>
  </si>
  <si>
    <t>成交量</t>
  </si>
  <si>
    <t xml:space="preserve"> 2006/12/06</t>
  </si>
  <si>
    <t xml:space="preserve"> 2006/12/07</t>
  </si>
  <si>
    <t xml:space="preserve"> 2006/12/08</t>
  </si>
  <si>
    <t xml:space="preserve"> 2006/12/11</t>
  </si>
  <si>
    <t xml:space="preserve"> 2006/12/12</t>
  </si>
  <si>
    <t xml:space="preserve"> 2006/12/13</t>
  </si>
  <si>
    <t xml:space="preserve"> 2006/12/14</t>
  </si>
  <si>
    <t xml:space="preserve"> 2006/12/15</t>
  </si>
  <si>
    <t xml:space="preserve"> 2006/12/18</t>
  </si>
  <si>
    <t xml:space="preserve"> 2006/12/19</t>
  </si>
  <si>
    <t xml:space="preserve"> 2006/12/20</t>
  </si>
  <si>
    <t xml:space="preserve"> 2006/12/21</t>
  </si>
  <si>
    <t xml:space="preserve"> 2006/12/22</t>
  </si>
  <si>
    <t xml:space="preserve"> 2006/12/25</t>
  </si>
  <si>
    <t xml:space="preserve"> 2006/12/26</t>
  </si>
  <si>
    <t xml:space="preserve"> 2006/12/27</t>
  </si>
  <si>
    <t xml:space="preserve"> 2006/12/28</t>
  </si>
  <si>
    <t xml:space="preserve"> 2006/12/29</t>
  </si>
  <si>
    <t xml:space="preserve"> 2007/01/04</t>
  </si>
  <si>
    <t xml:space="preserve"> 2007/01/05</t>
  </si>
  <si>
    <t xml:space="preserve"> 2007/01/08</t>
  </si>
  <si>
    <t xml:space="preserve"> 2007/01/09</t>
  </si>
  <si>
    <t xml:space="preserve"> 2007/01/10</t>
  </si>
  <si>
    <t xml:space="preserve"> 2007/01/11</t>
  </si>
  <si>
    <t xml:space="preserve"> 2007/01/12</t>
  </si>
  <si>
    <t xml:space="preserve"> 2007/01/15</t>
  </si>
  <si>
    <t xml:space="preserve"> 2007/01/16</t>
  </si>
  <si>
    <t xml:space="preserve"> 2007/01/17</t>
  </si>
  <si>
    <t xml:space="preserve"> 2007/01/18</t>
  </si>
  <si>
    <t xml:space="preserve"> 2007/01/19</t>
  </si>
  <si>
    <t xml:space="preserve"> 2007/01/22</t>
  </si>
  <si>
    <t xml:space="preserve"> 2007/01/23</t>
  </si>
  <si>
    <t xml:space="preserve"> 2007/01/24</t>
  </si>
  <si>
    <t xml:space="preserve"> 2007/01/25</t>
  </si>
  <si>
    <t xml:space="preserve"> 2007/01/26</t>
  </si>
  <si>
    <t xml:space="preserve"> 2007/01/29</t>
  </si>
  <si>
    <t xml:space="preserve"> 2007/01/30</t>
  </si>
  <si>
    <t xml:space="preserve"> 2007/01/31</t>
  </si>
  <si>
    <t xml:space="preserve"> 2007/02/01</t>
  </si>
  <si>
    <t xml:space="preserve"> 2007/02/02</t>
  </si>
  <si>
    <t xml:space="preserve"> 2007/02/05</t>
  </si>
  <si>
    <t xml:space="preserve"> 2007/02/06</t>
  </si>
  <si>
    <t xml:space="preserve"> 2007/02/07</t>
  </si>
  <si>
    <t xml:space="preserve"> 2007/02/08</t>
  </si>
  <si>
    <t xml:space="preserve"> 2007/02/09</t>
  </si>
  <si>
    <t xml:space="preserve"> 2007/02/12</t>
  </si>
  <si>
    <t xml:space="preserve"> 2007/02/13</t>
  </si>
  <si>
    <t xml:space="preserve"> 2007/02/14</t>
  </si>
  <si>
    <t xml:space="preserve"> 2007/02/15</t>
  </si>
  <si>
    <t xml:space="preserve"> 2007/02/16</t>
  </si>
  <si>
    <t xml:space="preserve"> 2007/02/26</t>
  </si>
  <si>
    <t xml:space="preserve"> 2007/02/27</t>
  </si>
  <si>
    <t xml:space="preserve"> 2007/02/28</t>
  </si>
  <si>
    <t xml:space="preserve"> 2007/03/01</t>
  </si>
  <si>
    <t xml:space="preserve"> 2007/03/02</t>
  </si>
  <si>
    <t xml:space="preserve"> 2007/03/05</t>
  </si>
  <si>
    <t xml:space="preserve"> 2007/03/06</t>
  </si>
  <si>
    <t xml:space="preserve"> 2007/03/07</t>
  </si>
  <si>
    <t xml:space="preserve"> 2007/03/08</t>
  </si>
  <si>
    <t xml:space="preserve"> 2007/03/09</t>
  </si>
  <si>
    <t xml:space="preserve"> 2007/03/12</t>
  </si>
  <si>
    <t xml:space="preserve"> 2007/03/13</t>
  </si>
  <si>
    <t xml:space="preserve"> 2007/03/14</t>
  </si>
  <si>
    <t xml:space="preserve"> 2007/03/15</t>
  </si>
  <si>
    <t xml:space="preserve"> 2007/03/16</t>
  </si>
  <si>
    <t xml:space="preserve"> 2007/03/19</t>
  </si>
  <si>
    <t xml:space="preserve"> 2007/03/20</t>
  </si>
  <si>
    <t xml:space="preserve"> 2007/03/21</t>
  </si>
  <si>
    <t xml:space="preserve"> 2007/03/22</t>
  </si>
  <si>
    <t xml:space="preserve"> 2007/03/23</t>
  </si>
  <si>
    <t xml:space="preserve"> 2007/03/26</t>
  </si>
  <si>
    <t xml:space="preserve"> 2007/03/27</t>
  </si>
  <si>
    <t xml:space="preserve"> 2007/03/28</t>
  </si>
  <si>
    <t xml:space="preserve"> 2007/03/29</t>
  </si>
  <si>
    <t xml:space="preserve"> 2007/03/30</t>
  </si>
  <si>
    <t xml:space="preserve"> 2007/04/02</t>
  </si>
  <si>
    <t xml:space="preserve"> 2007/04/03</t>
  </si>
  <si>
    <t xml:space="preserve"> 2007/04/04</t>
  </si>
  <si>
    <t xml:space="preserve"> 2007/04/05</t>
  </si>
  <si>
    <t xml:space="preserve"> 2007/04/06</t>
  </si>
  <si>
    <t xml:space="preserve"> 2007/04/09</t>
  </si>
  <si>
    <t xml:space="preserve"> 2007/04/10</t>
  </si>
  <si>
    <t xml:space="preserve"> 2007/04/11</t>
  </si>
  <si>
    <t xml:space="preserve"> 2007/04/12</t>
  </si>
  <si>
    <t xml:space="preserve"> 2007/04/13</t>
  </si>
  <si>
    <t xml:space="preserve"> 2007/04/16</t>
  </si>
  <si>
    <t xml:space="preserve"> 2007/04/17</t>
  </si>
  <si>
    <t xml:space="preserve"> 2007/04/18</t>
  </si>
  <si>
    <t xml:space="preserve"> 2007/04/19</t>
  </si>
  <si>
    <t xml:space="preserve"> 2007/04/20</t>
  </si>
  <si>
    <t xml:space="preserve"> 2007/04/23</t>
  </si>
  <si>
    <t xml:space="preserve"> 2007/04/24</t>
  </si>
  <si>
    <t xml:space="preserve"> 2007/04/25</t>
  </si>
  <si>
    <t xml:space="preserve"> 2007/04/26</t>
  </si>
  <si>
    <t xml:space="preserve"> 2007/04/27</t>
  </si>
  <si>
    <t xml:space="preserve"> 2007/04/30</t>
  </si>
  <si>
    <t xml:space="preserve"> 2007/05/08</t>
  </si>
  <si>
    <t xml:space="preserve"> 2007/05/09</t>
  </si>
  <si>
    <t xml:space="preserve"> 2007/05/10</t>
  </si>
  <si>
    <t>3. 动态滚动条切换数据</t>
    <phoneticPr fontId="1" type="noConversion"/>
  </si>
  <si>
    <t>a.开发工具-滚动条-单元格链接值</t>
    <phoneticPr fontId="1" type="noConversion"/>
  </si>
  <si>
    <t>b.通过相对引用特性+index函数组合数据-插入簇状柱形图</t>
    <phoneticPr fontId="1" type="noConversion"/>
  </si>
  <si>
    <t>a.通过小段数据推导出 图表所使用的剩余数据结构</t>
    <phoneticPr fontId="1" type="noConversion"/>
  </si>
  <si>
    <t>b.xy散点图 用来解读数据的分布情况</t>
    <phoneticPr fontId="1" type="noConversion"/>
  </si>
  <si>
    <t>超链接</t>
    <phoneticPr fontId="1" type="noConversion"/>
  </si>
  <si>
    <t>1、hyperlink</t>
    <phoneticPr fontId="1" type="noConversion"/>
  </si>
  <si>
    <t>图表</t>
    <phoneticPr fontId="1" type="noConversion"/>
  </si>
  <si>
    <t>c.xy散点图解决折线图手动选择数据源时导致横轴文本分类无法进行边界值的设定 因为文本分类不是数值轴</t>
    <phoneticPr fontId="1" type="noConversion"/>
  </si>
  <si>
    <t>d.生成的图表与预想不一致 需要插入空白图表选择数据源</t>
    <phoneticPr fontId="1" type="noConversion"/>
  </si>
  <si>
    <t>1. 折线图中插入散点图</t>
    <phoneticPr fontId="1" type="noConversion"/>
  </si>
  <si>
    <t>a.xy散点图需要给定两组值x&amp;y</t>
    <phoneticPr fontId="1" type="noConversion"/>
  </si>
  <si>
    <t>A</t>
    <phoneticPr fontId="1" type="noConversion"/>
  </si>
  <si>
    <t>B</t>
    <phoneticPr fontId="1" type="noConversion"/>
  </si>
  <si>
    <t>C</t>
    <phoneticPr fontId="1" type="noConversion"/>
  </si>
  <si>
    <t>D</t>
    <phoneticPr fontId="1" type="noConversion"/>
  </si>
  <si>
    <t>E</t>
    <phoneticPr fontId="1" type="noConversion"/>
  </si>
  <si>
    <t>F</t>
    <phoneticPr fontId="1" type="noConversion"/>
  </si>
  <si>
    <t>G</t>
    <phoneticPr fontId="1" type="noConversion"/>
  </si>
  <si>
    <t>H</t>
    <phoneticPr fontId="1" type="noConversion"/>
  </si>
  <si>
    <t>Y</t>
    <phoneticPr fontId="1" type="noConversion"/>
  </si>
  <si>
    <t>X</t>
    <phoneticPr fontId="1" type="noConversion"/>
  </si>
  <si>
    <t>J</t>
    <phoneticPr fontId="1" type="noConversion"/>
  </si>
  <si>
    <t>I</t>
    <phoneticPr fontId="1" type="noConversion"/>
  </si>
  <si>
    <t>b.插入折线图-算出xy的四象限位置-选择数据源-添加数据系列-先进行空值添加</t>
    <phoneticPr fontId="1" type="noConversion"/>
  </si>
  <si>
    <t>c.选择添加后系列-选择数据源-更改图表类型-xy散点图-更改数据源xy值</t>
    <phoneticPr fontId="1" type="noConversion"/>
  </si>
  <si>
    <t>d.出现图表挤压-将新增系列转为次坐标-添加次要坐标轴-更改边界值0-10/0-120</t>
    <phoneticPr fontId="1" type="noConversion"/>
  </si>
  <si>
    <t>e.删除xy散点系列纵坐标-横坐标格式标签设置为无-线条实线</t>
    <phoneticPr fontId="1" type="noConversion"/>
  </si>
  <si>
    <t>f.如果不使用次坐标的方式-将x轴值设为0.5-10.5 因为同在主轴上文本分类点位增加</t>
    <phoneticPr fontId="1" type="noConversion"/>
  </si>
  <si>
    <t>2. 帕累托图（28定律）</t>
    <phoneticPr fontId="1" type="noConversion"/>
  </si>
  <si>
    <t>百分比</t>
    <phoneticPr fontId="1" type="noConversion"/>
  </si>
  <si>
    <t>距离段</t>
    <phoneticPr fontId="1" type="noConversion"/>
  </si>
  <si>
    <t>[0-2)km</t>
    <phoneticPr fontId="1" type="noConversion"/>
  </si>
  <si>
    <t>[2-3)km</t>
    <phoneticPr fontId="1" type="noConversion"/>
  </si>
  <si>
    <t>[3-4)km</t>
    <phoneticPr fontId="1" type="noConversion"/>
  </si>
  <si>
    <t>[4-5)km</t>
    <phoneticPr fontId="1" type="noConversion"/>
  </si>
  <si>
    <t>[5-6)km</t>
    <phoneticPr fontId="1" type="noConversion"/>
  </si>
  <si>
    <t>[6+)km</t>
    <phoneticPr fontId="1" type="noConversion"/>
  </si>
  <si>
    <t>b.插入簇状柱形图-调整间隙-边界值0-1</t>
    <phoneticPr fontId="1" type="noConversion"/>
  </si>
  <si>
    <t>a.趋势线反映了项目的重要程度-推导xy值</t>
    <phoneticPr fontId="1" type="noConversion"/>
  </si>
  <si>
    <t>c.选择数据源-添加数据系列-设置新增数据系列图表格式-xy散点图-次坐标</t>
    <phoneticPr fontId="1" type="noConversion"/>
  </si>
  <si>
    <t>d.更改系列xy坐标值-添加次坐标轴-设置边界值0-6-删轴隐藏</t>
    <phoneticPr fontId="1" type="noConversion"/>
  </si>
  <si>
    <t>e.调整柱形图颜色-使用填充色阶</t>
    <phoneticPr fontId="1" type="noConversion"/>
  </si>
  <si>
    <t>a.折线图与散点图根本区别 折线图横轴上是文本分类不是数值型分类 所以折线图没有横向的误差线</t>
    <phoneticPr fontId="1" type="noConversion"/>
  </si>
  <si>
    <t>事件</t>
    <phoneticPr fontId="1" type="noConversion"/>
  </si>
  <si>
    <t>1. 误差线大事件</t>
    <phoneticPr fontId="1" type="noConversion"/>
  </si>
  <si>
    <t>a.插入散点图-添加误差线元素-标准误差线-删除横向误差线</t>
    <phoneticPr fontId="1" type="noConversion"/>
  </si>
  <si>
    <t>b.选中误差线-设置误差线格式-方向选中负偏差-不等长误差值自定义</t>
    <phoneticPr fontId="1" type="noConversion"/>
  </si>
  <si>
    <t>c.负错误值=高度-插入形状图-选中点位复制粘贴-添加数据标签</t>
    <phoneticPr fontId="1" type="noConversion"/>
  </si>
  <si>
    <t>产能</t>
    <phoneticPr fontId="1" type="noConversion"/>
  </si>
  <si>
    <t>采购价格</t>
    <phoneticPr fontId="1" type="noConversion"/>
  </si>
  <si>
    <t>销售价格</t>
    <phoneticPr fontId="1" type="noConversion"/>
  </si>
  <si>
    <t>constant</t>
    <phoneticPr fontId="1" type="noConversion"/>
  </si>
  <si>
    <t>variable</t>
    <phoneticPr fontId="1" type="noConversion"/>
  </si>
  <si>
    <t>虚拟是从多个变量中找到某一个变量且这个变量与其它变量相关</t>
    <phoneticPr fontId="1" type="noConversion"/>
  </si>
  <si>
    <t>在不同的产能下采购价格与销售价格对盈亏平衡点的影响</t>
    <phoneticPr fontId="1" type="noConversion"/>
  </si>
  <si>
    <t>盈亏平衡点 生产了30000件利润刚好能够覆盖成本 多1件赚钱 少1件亏钱</t>
    <phoneticPr fontId="1" type="noConversion"/>
  </si>
  <si>
    <t>a.插入滚动条-关联销售采购价格-价格波动范围40-70/70-100</t>
    <phoneticPr fontId="1" type="noConversion"/>
  </si>
  <si>
    <t>生产量</t>
    <phoneticPr fontId="1" type="noConversion"/>
  </si>
  <si>
    <t>成本</t>
    <phoneticPr fontId="1" type="noConversion"/>
  </si>
  <si>
    <t>销售额</t>
    <phoneticPr fontId="1" type="noConversion"/>
  </si>
  <si>
    <t>利润</t>
    <phoneticPr fontId="1" type="noConversion"/>
  </si>
  <si>
    <t>c.插入带线散点图-设置数据系列格式-标记无填充</t>
    <phoneticPr fontId="1" type="noConversion"/>
  </si>
  <si>
    <t>盈亏平衡点</t>
    <phoneticPr fontId="1" type="noConversion"/>
  </si>
  <si>
    <t>d.添加盈亏平衡点-根据销售额或成本算出图中点位置</t>
    <phoneticPr fontId="1" type="noConversion"/>
  </si>
  <si>
    <t>计划成本</t>
    <phoneticPr fontId="1" type="noConversion"/>
  </si>
  <si>
    <t>b.根据产能变量创建数据范围-成本需包含计划成本-销售额-利润</t>
    <phoneticPr fontId="1" type="noConversion"/>
  </si>
  <si>
    <t>e.选择数据源-添加数据系列-设置xy轴点位-添加数据标签x轴值</t>
    <phoneticPr fontId="1" type="noConversion"/>
  </si>
  <si>
    <t>f.添加最大利润点-选择数据源-添加数据系列-设置xy轴点位-取最大值</t>
    <phoneticPr fontId="1" type="noConversion"/>
  </si>
  <si>
    <t>销售</t>
    <phoneticPr fontId="1" type="noConversion"/>
  </si>
  <si>
    <t>1月</t>
    <phoneticPr fontId="22" type="noConversion"/>
  </si>
  <si>
    <t>月</t>
    <phoneticPr fontId="1" type="noConversion"/>
  </si>
  <si>
    <t>1. 结合折线与散点图</t>
    <phoneticPr fontId="1" type="noConversion"/>
  </si>
  <si>
    <t>a.折线图无法添加横轴误差线-散点横轴是数值轴无法更改文本</t>
    <phoneticPr fontId="1" type="noConversion"/>
  </si>
  <si>
    <t>b.插入折线图-隐藏实线-选择数据源-添加系列-更改图表类型散点图</t>
    <phoneticPr fontId="1" type="noConversion"/>
  </si>
  <si>
    <t>c.将散点图增加实线连接-添加误差线-负误差-自定义数据源</t>
    <phoneticPr fontId="1" type="noConversion"/>
  </si>
  <si>
    <t>2. 涨跌图</t>
    <phoneticPr fontId="1" type="noConversion"/>
  </si>
  <si>
    <t>销售(万)</t>
    <phoneticPr fontId="1" type="noConversion"/>
  </si>
  <si>
    <t>a.利用误差线的正负值来画线-插入散点图</t>
    <phoneticPr fontId="1" type="noConversion"/>
  </si>
  <si>
    <t>b.添加误差线-横向需要往左拉伸1点位-负偏差</t>
    <phoneticPr fontId="1" type="noConversion"/>
  </si>
  <si>
    <t>y</t>
    <phoneticPr fontId="1" type="noConversion"/>
  </si>
  <si>
    <t>c.添加辅助列y-垂直正偏差差值-负值会向下拉伸差值点位-自定义误差量</t>
    <phoneticPr fontId="1" type="noConversion"/>
  </si>
  <si>
    <t>d.切换横坐标数值为文本分类-选择数据源-添加数据系列空-更改图标类型-折线图</t>
    <phoneticPr fontId="1" type="noConversion"/>
  </si>
  <si>
    <t>e.将散点图切换为次坐标-折线图选择数据源-水平轴上选择月份数据</t>
    <phoneticPr fontId="1" type="noConversion"/>
  </si>
  <si>
    <t>3. 瀑布图</t>
    <phoneticPr fontId="1" type="noConversion"/>
  </si>
  <si>
    <t>a.两组误差线-涨跌按照正负值来区分</t>
    <phoneticPr fontId="1" type="noConversion"/>
  </si>
  <si>
    <t>正值</t>
    <phoneticPr fontId="1" type="noConversion"/>
  </si>
  <si>
    <t>负值</t>
    <phoneticPr fontId="1" type="noConversion"/>
  </si>
  <si>
    <t>f.解决双图表散点图0.5点位溢出问题-添加次要横坐标轴</t>
    <phoneticPr fontId="1" type="noConversion"/>
  </si>
  <si>
    <t>中心点位</t>
    <phoneticPr fontId="1" type="noConversion"/>
  </si>
  <si>
    <t>年份</t>
    <phoneticPr fontId="22" type="noConversion"/>
  </si>
  <si>
    <t>市场占有率</t>
    <phoneticPr fontId="22" type="noConversion"/>
  </si>
  <si>
    <t>2010年</t>
    <phoneticPr fontId="22" type="noConversion"/>
  </si>
  <si>
    <t>2012年</t>
  </si>
  <si>
    <t>2013年</t>
  </si>
  <si>
    <t>辅助列</t>
    <phoneticPr fontId="1" type="noConversion"/>
  </si>
  <si>
    <t>彩盒</t>
  </si>
  <si>
    <t>以下适用范围窄且扩展性较差</t>
    <phoneticPr fontId="1" type="noConversion"/>
  </si>
  <si>
    <t>C产品</t>
  </si>
  <si>
    <t>D产品</t>
  </si>
  <si>
    <t>E产品</t>
  </si>
  <si>
    <t>F产品</t>
  </si>
  <si>
    <t>G产品</t>
  </si>
  <si>
    <t>H产品</t>
  </si>
  <si>
    <t>员工</t>
    <phoneticPr fontId="22" type="noConversion"/>
  </si>
  <si>
    <t>A员工</t>
    <phoneticPr fontId="22" type="noConversion"/>
  </si>
  <si>
    <t>B员工</t>
    <phoneticPr fontId="22" type="noConversion"/>
  </si>
  <si>
    <t>完单数</t>
    <phoneticPr fontId="22" type="noConversion"/>
  </si>
  <si>
    <t>在线时长</t>
    <phoneticPr fontId="22" type="noConversion"/>
  </si>
  <si>
    <t>背单时长</t>
    <phoneticPr fontId="22" type="noConversion"/>
  </si>
  <si>
    <t>午高峰出勤</t>
    <phoneticPr fontId="22" type="noConversion"/>
  </si>
  <si>
    <t>晚高峰出勤</t>
    <phoneticPr fontId="22" type="noConversion"/>
  </si>
  <si>
    <t>所属区域</t>
    <phoneticPr fontId="22" type="noConversion"/>
  </si>
  <si>
    <t>产品类别</t>
    <phoneticPr fontId="22" type="noConversion"/>
  </si>
  <si>
    <t>求和项:金额</t>
    <phoneticPr fontId="22" type="noConversion"/>
  </si>
  <si>
    <t>常熟</t>
    <phoneticPr fontId="22" type="noConversion"/>
  </si>
  <si>
    <t>彩盒</t>
    <phoneticPr fontId="22" type="noConversion"/>
  </si>
  <si>
    <t>宠物用品</t>
    <phoneticPr fontId="22" type="noConversion"/>
  </si>
  <si>
    <t>服装</t>
    <phoneticPr fontId="22" type="noConversion"/>
  </si>
  <si>
    <t>警告标</t>
    <phoneticPr fontId="22" type="noConversion"/>
  </si>
  <si>
    <t>暖靴</t>
    <phoneticPr fontId="22" type="noConversion"/>
  </si>
  <si>
    <t>睡袋</t>
    <phoneticPr fontId="22" type="noConversion"/>
  </si>
  <si>
    <t>昆山</t>
    <phoneticPr fontId="22" type="noConversion"/>
  </si>
  <si>
    <t>南京</t>
    <phoneticPr fontId="22" type="noConversion"/>
  </si>
  <si>
    <t>苏州</t>
    <phoneticPr fontId="22" type="noConversion"/>
  </si>
  <si>
    <t>无锡</t>
    <phoneticPr fontId="2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</si>
</sst>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76" formatCode="yyyy/m/d;@"/>
    <numFmt numFmtId="177" formatCode="0.0%"/>
    <numFmt numFmtId="178" formatCode="\a"/>
    <numFmt numFmtId="179" formatCode="&quot;b&quot;"/>
    <numFmt numFmtId="180" formatCode="\c"/>
    <numFmt numFmtId="181" formatCode="&quot;D&quot;"/>
    <numFmt numFmtId="182" formatCode="\f"/>
    <numFmt numFmtId="183" formatCode="0.0_);[Red]\(0.0\)"/>
  </numFmts>
  <fonts count="25">
    <font>
      <sz val="12"/>
      <name val="宋体"/>
      <charset val="134"/>
    </font>
    <font>
      <sz val="9"/>
      <name val="宋体"/>
      <family val="3"/>
      <charset val="134"/>
    </font>
    <font>
      <u/>
      <sz val="12"/>
      <color indexed="12"/>
      <name val="宋体"/>
      <family val="3"/>
      <charset val="134"/>
    </font>
    <font>
      <sz val="10"/>
      <name val="宋体"/>
      <family val="3"/>
      <charset val="134"/>
    </font>
    <font>
      <sz val="10"/>
      <color indexed="10"/>
      <name val="宋体"/>
      <family val="3"/>
      <charset val="134"/>
    </font>
    <font>
      <sz val="10"/>
      <name val="宋体"/>
      <family val="3"/>
      <charset val="134"/>
    </font>
    <font>
      <sz val="12"/>
      <name val="宋体"/>
      <family val="3"/>
      <charset val="134"/>
    </font>
    <font>
      <sz val="10"/>
      <color indexed="10"/>
      <name val="宋体"/>
      <family val="3"/>
      <charset val="134"/>
    </font>
    <font>
      <sz val="10"/>
      <name val="宋体"/>
      <family val="3"/>
      <charset val="134"/>
    </font>
    <font>
      <sz val="10"/>
      <color theme="3" tint="-0.249977111117893"/>
      <name val="宋体"/>
      <family val="3"/>
      <charset val="134"/>
    </font>
    <font>
      <sz val="11"/>
      <color theme="0"/>
      <name val="宋体"/>
      <family val="3"/>
      <charset val="134"/>
      <scheme val="minor"/>
    </font>
    <font>
      <sz val="12"/>
      <name val="宋体"/>
      <family val="3"/>
      <charset val="134"/>
    </font>
    <font>
      <sz val="10"/>
      <color rgb="FFFF0000"/>
      <name val="宋体"/>
      <family val="3"/>
      <charset val="134"/>
    </font>
    <font>
      <sz val="10"/>
      <color theme="3"/>
      <name val="宋体"/>
      <family val="3"/>
      <charset val="134"/>
    </font>
    <font>
      <sz val="12"/>
      <color theme="0"/>
      <name val="宋体"/>
      <family val="3"/>
      <charset val="134"/>
      <scheme val="minor"/>
    </font>
    <font>
      <sz val="12"/>
      <name val="宋体"/>
      <family val="3"/>
      <charset val="134"/>
      <scheme val="minor"/>
    </font>
    <font>
      <sz val="12"/>
      <color theme="0"/>
      <name val="宋体 (正文)"/>
      <family val="3"/>
      <charset val="134"/>
    </font>
    <font>
      <sz val="12"/>
      <name val="宋体 (正文)"/>
      <family val="3"/>
      <charset val="134"/>
    </font>
    <font>
      <sz val="10"/>
      <color theme="3"/>
      <name val="宋体"/>
      <family val="3"/>
      <charset val="134"/>
      <scheme val="minor"/>
    </font>
    <font>
      <sz val="14.4"/>
      <color rgb="FF000000"/>
      <name val="宋体"/>
      <family val="3"/>
      <charset val="134"/>
    </font>
    <font>
      <sz val="14.4"/>
      <color rgb="FF000000"/>
      <name val="等线"/>
      <family val="4"/>
      <charset val="134"/>
    </font>
    <font>
      <sz val="12"/>
      <color theme="0"/>
      <name val="宋体"/>
      <family val="3"/>
      <charset val="134"/>
    </font>
    <font>
      <sz val="9"/>
      <name val="宋体"/>
      <family val="3"/>
      <charset val="134"/>
      <scheme val="minor"/>
    </font>
    <font>
      <sz val="12"/>
      <color theme="0"/>
      <name val="宋体"/>
      <family val="3"/>
    </font>
    <font>
      <b/>
      <sz val="12"/>
      <color rgb="FFFFFFFF"/>
      <name val="宋体"/>
      <family val="3"/>
      <charset val="134"/>
    </font>
  </fonts>
  <fills count="7">
    <fill>
      <patternFill patternType="none"/>
    </fill>
    <fill>
      <patternFill patternType="gray125"/>
    </fill>
    <fill>
      <patternFill patternType="solid">
        <fgColor theme="4"/>
        <bgColor indexed="64"/>
      </patternFill>
    </fill>
    <fill>
      <patternFill patternType="solid">
        <fgColor theme="9"/>
        <bgColor indexed="64"/>
      </patternFill>
    </fill>
    <fill>
      <patternFill patternType="solid">
        <fgColor indexed="44"/>
        <bgColor indexed="64"/>
      </patternFill>
    </fill>
    <fill>
      <patternFill patternType="solid">
        <fgColor rgb="FFFFFF00"/>
        <bgColor indexed="64"/>
      </patternFill>
    </fill>
    <fill>
      <patternFill patternType="solid">
        <fgColor rgb="FF4BACC6"/>
        <bgColor rgb="FF000000"/>
      </patternFill>
    </fill>
  </fills>
  <borders count="9">
    <border>
      <left/>
      <right/>
      <top/>
      <bottom/>
      <diagonal/>
    </border>
    <border>
      <left/>
      <right/>
      <top/>
      <bottom style="double">
        <color indexed="64"/>
      </bottom>
      <diagonal/>
    </border>
    <border>
      <left style="thin">
        <color theme="4"/>
      </left>
      <right style="thin">
        <color theme="4"/>
      </right>
      <top style="thin">
        <color theme="4"/>
      </top>
      <bottom style="thin">
        <color theme="4"/>
      </bottom>
      <diagonal/>
    </border>
    <border>
      <left style="thin">
        <color rgb="FF1FBB7D"/>
      </left>
      <right style="thin">
        <color rgb="FF1FBB7D"/>
      </right>
      <top style="thin">
        <color rgb="FF1FBB7D"/>
      </top>
      <bottom style="thin">
        <color rgb="FF1FBB7D"/>
      </bottom>
      <diagonal/>
    </border>
    <border>
      <left/>
      <right style="thin">
        <color rgb="FF1FBB7D"/>
      </right>
      <top/>
      <bottom style="thin">
        <color rgb="FF1FBB7D"/>
      </bottom>
      <diagonal/>
    </border>
    <border>
      <left style="thin">
        <color rgb="FF1FBB7D"/>
      </left>
      <right style="thin">
        <color rgb="FF1FBB7D"/>
      </right>
      <top/>
      <bottom style="thin">
        <color rgb="FF1FBB7D"/>
      </bottom>
      <diagonal/>
    </border>
    <border>
      <left/>
      <right style="thin">
        <color rgb="FF1FBB7D"/>
      </right>
      <top style="thin">
        <color rgb="FF1FBB7D"/>
      </top>
      <bottom style="thin">
        <color rgb="FF1FBB7D"/>
      </bottom>
      <diagonal/>
    </border>
    <border>
      <left style="thin">
        <color auto="1"/>
      </left>
      <right style="thin">
        <color auto="1"/>
      </right>
      <top style="thin">
        <color auto="1"/>
      </top>
      <bottom style="thin">
        <color auto="1"/>
      </bottom>
      <diagonal/>
    </border>
    <border>
      <left style="thin">
        <color rgb="FF1FBB7D"/>
      </left>
      <right/>
      <top/>
      <bottom/>
      <diagonal/>
    </border>
  </borders>
  <cellStyleXfs count="5">
    <xf numFmtId="0" fontId="0" fillId="0" borderId="0"/>
    <xf numFmtId="0" fontId="6" fillId="0" borderId="0">
      <alignment vertical="center"/>
    </xf>
    <xf numFmtId="0" fontId="2" fillId="0" borderId="0" applyNumberFormat="0" applyFill="0" applyBorder="0" applyAlignment="0" applyProtection="0">
      <alignment vertical="top"/>
      <protection locked="0"/>
    </xf>
    <xf numFmtId="9" fontId="11" fillId="0" borderId="0" applyFont="0" applyFill="0" applyBorder="0" applyAlignment="0" applyProtection="0">
      <alignment vertical="center"/>
    </xf>
    <xf numFmtId="0" fontId="1" fillId="0" borderId="0">
      <alignment vertical="center"/>
    </xf>
  </cellStyleXfs>
  <cellXfs count="72">
    <xf numFmtId="0" fontId="0" fillId="0" borderId="0" xfId="0"/>
    <xf numFmtId="0" fontId="0" fillId="0" borderId="0" xfId="0" applyProtection="1">
      <protection locked="0"/>
    </xf>
    <xf numFmtId="0" fontId="0" fillId="0" borderId="1" xfId="0" applyBorder="1" applyProtection="1">
      <protection locked="0"/>
    </xf>
    <xf numFmtId="0" fontId="3" fillId="0" borderId="0" xfId="0" applyFont="1" applyProtection="1">
      <protection locked="0"/>
    </xf>
    <xf numFmtId="0" fontId="5" fillId="0" borderId="0" xfId="0" applyFont="1" applyProtection="1">
      <protection locked="0"/>
    </xf>
    <xf numFmtId="0" fontId="2" fillId="0" borderId="0" xfId="2" applyAlignment="1" applyProtection="1">
      <protection locked="0"/>
    </xf>
    <xf numFmtId="0" fontId="4" fillId="0" borderId="0" xfId="0" applyFont="1" applyProtection="1">
      <protection locked="0"/>
    </xf>
    <xf numFmtId="0" fontId="7" fillId="0" borderId="0" xfId="0" applyFont="1" applyProtection="1">
      <protection locked="0"/>
    </xf>
    <xf numFmtId="0" fontId="8" fillId="0" borderId="0" xfId="0" applyFont="1" applyProtection="1">
      <protection locked="0"/>
    </xf>
    <xf numFmtId="0" fontId="9" fillId="0" borderId="0" xfId="0" applyFont="1" applyProtection="1">
      <protection locked="0"/>
    </xf>
    <xf numFmtId="0" fontId="10" fillId="2" borderId="2" xfId="0" applyFont="1" applyFill="1" applyBorder="1" applyAlignment="1">
      <alignment vertical="center"/>
    </xf>
    <xf numFmtId="176" fontId="0" fillId="0" borderId="2" xfId="0" applyNumberFormat="1" applyBorder="1" applyAlignment="1">
      <alignment vertical="center"/>
    </xf>
    <xf numFmtId="0" fontId="0" fillId="0" borderId="2" xfId="0" applyBorder="1" applyAlignment="1">
      <alignment vertical="center"/>
    </xf>
    <xf numFmtId="0" fontId="6" fillId="0" borderId="0" xfId="0" applyFont="1"/>
    <xf numFmtId="0" fontId="10" fillId="2" borderId="3" xfId="0" applyFont="1" applyFill="1" applyBorder="1" applyAlignment="1">
      <alignment vertical="center"/>
    </xf>
    <xf numFmtId="0" fontId="10" fillId="2" borderId="3" xfId="0" applyFont="1" applyFill="1" applyBorder="1" applyAlignment="1">
      <alignment horizontal="center" vertical="center"/>
    </xf>
    <xf numFmtId="14" fontId="0" fillId="0" borderId="3" xfId="0" applyNumberFormat="1" applyBorder="1" applyAlignment="1">
      <alignment vertical="center"/>
    </xf>
    <xf numFmtId="0" fontId="0" fillId="0" borderId="3" xfId="0" applyBorder="1" applyAlignment="1">
      <alignment vertical="center"/>
    </xf>
    <xf numFmtId="0" fontId="9" fillId="0" borderId="0" xfId="0" applyFont="1" applyAlignment="1" applyProtection="1">
      <alignment vertical="center"/>
      <protection locked="0"/>
    </xf>
    <xf numFmtId="0" fontId="9" fillId="0" borderId="0" xfId="0" applyFont="1" applyAlignment="1">
      <alignment horizontal="left" vertical="top"/>
    </xf>
    <xf numFmtId="0" fontId="9" fillId="0" borderId="0" xfId="0" applyFont="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12" fillId="0" borderId="0" xfId="0" applyFont="1" applyProtection="1">
      <protection locked="0"/>
    </xf>
    <xf numFmtId="0" fontId="13" fillId="0" borderId="0" xfId="0" applyFont="1" applyProtection="1">
      <protection locked="0"/>
    </xf>
    <xf numFmtId="14" fontId="6" fillId="0" borderId="3" xfId="0" applyNumberFormat="1" applyFont="1" applyBorder="1" applyAlignment="1">
      <alignment vertical="center"/>
    </xf>
    <xf numFmtId="10" fontId="0" fillId="0" borderId="3" xfId="0" applyNumberFormat="1" applyBorder="1" applyAlignment="1">
      <alignment vertical="center"/>
    </xf>
    <xf numFmtId="9" fontId="0" fillId="0" borderId="0" xfId="0" applyNumberFormat="1"/>
    <xf numFmtId="0" fontId="14" fillId="2" borderId="3" xfId="0" applyFont="1" applyFill="1" applyBorder="1" applyAlignment="1">
      <alignment vertical="center"/>
    </xf>
    <xf numFmtId="0" fontId="15" fillId="0" borderId="3" xfId="0" applyFont="1" applyBorder="1" applyAlignment="1">
      <alignment vertical="center"/>
    </xf>
    <xf numFmtId="177" fontId="15" fillId="0" borderId="3" xfId="3" applyNumberFormat="1" applyFont="1" applyBorder="1">
      <alignment vertical="center"/>
    </xf>
    <xf numFmtId="0" fontId="16" fillId="2" borderId="3" xfId="0" applyFont="1" applyFill="1" applyBorder="1" applyAlignment="1">
      <alignment vertical="center"/>
    </xf>
    <xf numFmtId="0" fontId="6" fillId="0" borderId="3" xfId="0" applyFont="1" applyBorder="1" applyAlignment="1">
      <alignment horizontal="right"/>
    </xf>
    <xf numFmtId="9" fontId="6" fillId="0" borderId="3" xfId="3" applyFont="1" applyBorder="1" applyAlignment="1"/>
    <xf numFmtId="0" fontId="16" fillId="2" borderId="3" xfId="0" applyFont="1" applyFill="1" applyBorder="1" applyAlignment="1">
      <alignment horizontal="center" vertical="center"/>
    </xf>
    <xf numFmtId="14" fontId="17" fillId="0" borderId="3" xfId="0" applyNumberFormat="1" applyFont="1" applyBorder="1" applyAlignment="1">
      <alignment vertical="center"/>
    </xf>
    <xf numFmtId="0" fontId="17" fillId="0" borderId="3" xfId="0" applyFont="1" applyBorder="1" applyAlignment="1">
      <alignment vertical="center"/>
    </xf>
    <xf numFmtId="9" fontId="17" fillId="0" borderId="3" xfId="0" applyNumberFormat="1" applyFont="1" applyBorder="1" applyAlignment="1">
      <alignment vertical="center"/>
    </xf>
    <xf numFmtId="14" fontId="17" fillId="0" borderId="0" xfId="0" applyNumberFormat="1" applyFont="1" applyAlignment="1">
      <alignment vertical="center"/>
    </xf>
    <xf numFmtId="0" fontId="17" fillId="0" borderId="0" xfId="0" applyFont="1" applyAlignment="1">
      <alignment vertical="center"/>
    </xf>
    <xf numFmtId="14" fontId="18" fillId="0" borderId="0" xfId="0" applyNumberFormat="1" applyFont="1" applyAlignment="1">
      <alignment vertical="center"/>
    </xf>
    <xf numFmtId="183" fontId="0" fillId="0" borderId="3" xfId="0" applyNumberFormat="1" applyBorder="1" applyAlignment="1">
      <alignment vertical="center"/>
    </xf>
    <xf numFmtId="0" fontId="0" fillId="0" borderId="3" xfId="0" applyBorder="1"/>
    <xf numFmtId="0" fontId="13" fillId="0" borderId="0" xfId="0" applyFont="1"/>
    <xf numFmtId="10" fontId="0" fillId="0" borderId="0" xfId="0" applyNumberFormat="1"/>
    <xf numFmtId="0" fontId="17" fillId="0" borderId="7" xfId="0" applyFont="1" applyBorder="1" applyAlignment="1">
      <alignment horizontal="center" vertical="center"/>
    </xf>
    <xf numFmtId="14" fontId="17" fillId="0" borderId="7" xfId="0" applyNumberFormat="1" applyFont="1" applyBorder="1" applyAlignment="1">
      <alignment horizontal="center" vertical="center"/>
    </xf>
    <xf numFmtId="0" fontId="21" fillId="3" borderId="7" xfId="0" applyFont="1" applyFill="1" applyBorder="1" applyAlignment="1">
      <alignment horizontal="center" vertical="center"/>
    </xf>
    <xf numFmtId="0" fontId="6" fillId="0" borderId="7" xfId="0" applyFont="1" applyBorder="1" applyAlignment="1">
      <alignment vertical="center"/>
    </xf>
    <xf numFmtId="177" fontId="6" fillId="0" borderId="7" xfId="3" applyNumberFormat="1" applyFont="1" applyBorder="1">
      <alignment vertical="center"/>
    </xf>
    <xf numFmtId="0" fontId="6" fillId="4" borderId="0" xfId="4" applyFont="1" applyFill="1" applyAlignment="1">
      <alignment horizontal="center" vertical="center"/>
    </xf>
    <xf numFmtId="0" fontId="6" fillId="0" borderId="0" xfId="4" applyFont="1">
      <alignment vertical="center"/>
    </xf>
    <xf numFmtId="0" fontId="16" fillId="2" borderId="8" xfId="0" applyFont="1" applyFill="1" applyBorder="1" applyAlignment="1">
      <alignment horizontal="center" vertical="center"/>
    </xf>
    <xf numFmtId="0" fontId="17" fillId="0" borderId="3" xfId="0" applyFont="1" applyBorder="1"/>
    <xf numFmtId="10" fontId="17" fillId="0" borderId="3" xfId="3" applyNumberFormat="1" applyFont="1" applyBorder="1" applyAlignment="1"/>
    <xf numFmtId="0" fontId="17" fillId="0" borderId="0" xfId="0" applyFont="1"/>
    <xf numFmtId="10" fontId="17" fillId="0" borderId="0" xfId="0" applyNumberFormat="1" applyFont="1"/>
    <xf numFmtId="0" fontId="6" fillId="5" borderId="0" xfId="0" applyFont="1" applyFill="1"/>
    <xf numFmtId="1" fontId="0" fillId="0" borderId="0" xfId="0" applyNumberFormat="1"/>
    <xf numFmtId="0" fontId="16" fillId="2" borderId="3" xfId="0" applyFont="1" applyFill="1" applyBorder="1" applyAlignment="1">
      <alignment horizontal="left" vertical="center"/>
    </xf>
    <xf numFmtId="0" fontId="23" fillId="2" borderId="3" xfId="0" applyFont="1" applyFill="1" applyBorder="1" applyAlignment="1">
      <alignment horizontal="left" vertical="center"/>
    </xf>
    <xf numFmtId="0" fontId="21" fillId="2" borderId="3" xfId="0" applyFont="1" applyFill="1" applyBorder="1" applyAlignment="1">
      <alignment horizontal="left" vertical="center"/>
    </xf>
    <xf numFmtId="0" fontId="24" fillId="6" borderId="0" xfId="0" applyFont="1" applyFill="1" applyAlignment="1">
      <alignment horizontal="center" vertical="center"/>
    </xf>
    <xf numFmtId="178" fontId="6" fillId="0" borderId="0" xfId="0" applyNumberFormat="1" applyFont="1" applyAlignment="1">
      <alignment horizontal="center" vertical="center"/>
    </xf>
    <xf numFmtId="43" fontId="6" fillId="0" borderId="0" xfId="0" applyNumberFormat="1" applyFont="1" applyAlignment="1">
      <alignment vertical="center"/>
    </xf>
    <xf numFmtId="10" fontId="6" fillId="0" borderId="0" xfId="0" applyNumberFormat="1" applyFont="1" applyAlignment="1">
      <alignment vertical="center"/>
    </xf>
    <xf numFmtId="179" fontId="6" fillId="0" borderId="0" xfId="0" applyNumberFormat="1" applyFont="1" applyAlignment="1">
      <alignment horizontal="center" vertical="center"/>
    </xf>
    <xf numFmtId="180" fontId="6" fillId="0" borderId="0" xfId="0" applyNumberFormat="1" applyFont="1" applyAlignment="1">
      <alignment horizontal="center" vertical="center"/>
    </xf>
    <xf numFmtId="181" fontId="6" fillId="0" borderId="0" xfId="0" applyNumberFormat="1" applyFont="1" applyAlignment="1">
      <alignment horizontal="center" vertical="center"/>
    </xf>
    <xf numFmtId="0" fontId="6" fillId="0" borderId="0" xfId="0" applyFont="1" applyAlignment="1">
      <alignment horizontal="center" vertical="center"/>
    </xf>
    <xf numFmtId="182" fontId="6" fillId="0" borderId="0" xfId="0" applyNumberFormat="1" applyFont="1" applyAlignment="1">
      <alignment horizontal="center" vertical="center"/>
    </xf>
  </cellXfs>
  <cellStyles count="5">
    <cellStyle name="百分比" xfId="3" builtinId="5"/>
    <cellStyle name="常规" xfId="0" builtinId="0"/>
    <cellStyle name="常规 2" xfId="1" xr:uid="{00000000-0005-0000-0000-000002000000}"/>
    <cellStyle name="常规 3" xfId="4" xr:uid="{CB546887-15AC-7349-B923-06C884EA2531}"/>
    <cellStyle name="超链接"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1" Type="http://schemas.openxmlformats.org/officeDocument/2006/relationships/image" Target="../media/image1.emf"/></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23.xml"/><Relationship Id="rId1" Type="http://schemas.microsoft.com/office/2011/relationships/chartStyle" Target="style23.xml"/><Relationship Id="rId5" Type="http://schemas.openxmlformats.org/officeDocument/2006/relationships/chartUserShapes" Target="../drawings/drawing8.xml"/><Relationship Id="rId4" Type="http://schemas.openxmlformats.org/officeDocument/2006/relationships/image" Target="../media/image3.svg"/></Relationships>
</file>

<file path=xl/charts/_rels/chart2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1.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错位法!$B$1</c:f>
              <c:strCache>
                <c:ptCount val="1"/>
                <c:pt idx="0">
                  <c:v>A产品</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错位法!$A$2:$A$4</c:f>
              <c:strCache>
                <c:ptCount val="3"/>
                <c:pt idx="0">
                  <c:v>销售一部</c:v>
                </c:pt>
                <c:pt idx="1">
                  <c:v>销售二部</c:v>
                </c:pt>
                <c:pt idx="2">
                  <c:v>销售三部</c:v>
                </c:pt>
              </c:strCache>
            </c:strRef>
          </c:cat>
          <c:val>
            <c:numRef>
              <c:f>错位法!$B$2:$B$4</c:f>
              <c:numCache>
                <c:formatCode>General</c:formatCode>
                <c:ptCount val="3"/>
                <c:pt idx="0">
                  <c:v>30</c:v>
                </c:pt>
                <c:pt idx="1">
                  <c:v>35</c:v>
                </c:pt>
                <c:pt idx="2">
                  <c:v>28</c:v>
                </c:pt>
              </c:numCache>
            </c:numRef>
          </c:val>
          <c:extLst>
            <c:ext xmlns:c16="http://schemas.microsoft.com/office/drawing/2014/chart" uri="{C3380CC4-5D6E-409C-BE32-E72D297353CC}">
              <c16:uniqueId val="{00000000-C560-2540-A213-1AB3F390EC75}"/>
            </c:ext>
          </c:extLst>
        </c:ser>
        <c:ser>
          <c:idx val="1"/>
          <c:order val="1"/>
          <c:tx>
            <c:strRef>
              <c:f>错位法!$C$1</c:f>
              <c:strCache>
                <c:ptCount val="1"/>
                <c:pt idx="0">
                  <c:v>B产品</c:v>
                </c:pt>
              </c:strCache>
            </c:strRef>
          </c:tx>
          <c:spPr>
            <a:noFill/>
            <a:ln w="25400">
              <a:solidFill>
                <a:srgbClr val="FF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错位法!$A$2:$A$4</c:f>
              <c:strCache>
                <c:ptCount val="3"/>
                <c:pt idx="0">
                  <c:v>销售一部</c:v>
                </c:pt>
                <c:pt idx="1">
                  <c:v>销售二部</c:v>
                </c:pt>
                <c:pt idx="2">
                  <c:v>销售三部</c:v>
                </c:pt>
              </c:strCache>
            </c:strRef>
          </c:cat>
          <c:val>
            <c:numRef>
              <c:f>错位法!$C$2:$C$4</c:f>
              <c:numCache>
                <c:formatCode>General</c:formatCode>
                <c:ptCount val="3"/>
                <c:pt idx="0">
                  <c:v>25</c:v>
                </c:pt>
                <c:pt idx="1">
                  <c:v>30</c:v>
                </c:pt>
                <c:pt idx="2">
                  <c:v>32</c:v>
                </c:pt>
              </c:numCache>
            </c:numRef>
          </c:val>
          <c:extLst>
            <c:ext xmlns:c16="http://schemas.microsoft.com/office/drawing/2014/chart" uri="{C3380CC4-5D6E-409C-BE32-E72D297353CC}">
              <c16:uniqueId val="{00000001-C560-2540-A213-1AB3F390EC75}"/>
            </c:ext>
          </c:extLst>
        </c:ser>
        <c:dLbls>
          <c:dLblPos val="inEnd"/>
          <c:showLegendKey val="0"/>
          <c:showVal val="1"/>
          <c:showCatName val="0"/>
          <c:showSerName val="0"/>
          <c:showPercent val="0"/>
          <c:showBubbleSize val="0"/>
        </c:dLbls>
        <c:gapWidth val="160"/>
        <c:overlap val="100"/>
        <c:axId val="2077965632"/>
        <c:axId val="2077963392"/>
      </c:barChart>
      <c:catAx>
        <c:axId val="207796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077963392"/>
        <c:crosses val="autoZero"/>
        <c:auto val="1"/>
        <c:lblAlgn val="ctr"/>
        <c:lblOffset val="100"/>
        <c:noMultiLvlLbl val="0"/>
      </c:catAx>
      <c:valAx>
        <c:axId val="2077963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077965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错位法!$B$16</c:f>
              <c:strCache>
                <c:ptCount val="1"/>
                <c:pt idx="0">
                  <c:v>A产品</c:v>
                </c:pt>
              </c:strCache>
            </c:strRef>
          </c:tx>
          <c:spPr>
            <a:solidFill>
              <a:schemeClr val="accent1"/>
            </a:solidFill>
            <a:ln>
              <a:noFill/>
            </a:ln>
            <a:effectLst/>
          </c:spPr>
          <c:invertIfNegative val="0"/>
          <c:cat>
            <c:strRef>
              <c:f>错位法!$A$17:$A$20</c:f>
              <c:strCache>
                <c:ptCount val="4"/>
                <c:pt idx="0">
                  <c:v>销售一部</c:v>
                </c:pt>
                <c:pt idx="1">
                  <c:v>销售二部</c:v>
                </c:pt>
                <c:pt idx="2">
                  <c:v>销售三部</c:v>
                </c:pt>
                <c:pt idx="3">
                  <c:v>销售四部</c:v>
                </c:pt>
              </c:strCache>
            </c:strRef>
          </c:cat>
          <c:val>
            <c:numRef>
              <c:f>错位法!$B$17:$B$20</c:f>
              <c:numCache>
                <c:formatCode>General</c:formatCode>
                <c:ptCount val="4"/>
                <c:pt idx="0">
                  <c:v>30</c:v>
                </c:pt>
                <c:pt idx="1">
                  <c:v>35</c:v>
                </c:pt>
                <c:pt idx="2">
                  <c:v>28</c:v>
                </c:pt>
                <c:pt idx="3">
                  <c:v>33</c:v>
                </c:pt>
              </c:numCache>
            </c:numRef>
          </c:val>
          <c:extLst>
            <c:ext xmlns:c16="http://schemas.microsoft.com/office/drawing/2014/chart" uri="{C3380CC4-5D6E-409C-BE32-E72D297353CC}">
              <c16:uniqueId val="{00000000-C8DF-764E-8378-755862CCC9F1}"/>
            </c:ext>
          </c:extLst>
        </c:ser>
        <c:ser>
          <c:idx val="1"/>
          <c:order val="1"/>
          <c:tx>
            <c:strRef>
              <c:f>错位法!$C$16</c:f>
              <c:strCache>
                <c:ptCount val="1"/>
                <c:pt idx="0">
                  <c:v>B产品</c:v>
                </c:pt>
              </c:strCache>
            </c:strRef>
          </c:tx>
          <c:spPr>
            <a:solidFill>
              <a:schemeClr val="accent2"/>
            </a:solidFill>
            <a:ln>
              <a:noFill/>
            </a:ln>
            <a:effectLst/>
          </c:spPr>
          <c:invertIfNegative val="0"/>
          <c:cat>
            <c:strRef>
              <c:f>错位法!$A$17:$A$20</c:f>
              <c:strCache>
                <c:ptCount val="4"/>
                <c:pt idx="0">
                  <c:v>销售一部</c:v>
                </c:pt>
                <c:pt idx="1">
                  <c:v>销售二部</c:v>
                </c:pt>
                <c:pt idx="2">
                  <c:v>销售三部</c:v>
                </c:pt>
                <c:pt idx="3">
                  <c:v>销售四部</c:v>
                </c:pt>
              </c:strCache>
            </c:strRef>
          </c:cat>
          <c:val>
            <c:numRef>
              <c:f>错位法!$C$17:$C$20</c:f>
              <c:numCache>
                <c:formatCode>General</c:formatCode>
                <c:ptCount val="4"/>
                <c:pt idx="0">
                  <c:v>25</c:v>
                </c:pt>
                <c:pt idx="1">
                  <c:v>30</c:v>
                </c:pt>
                <c:pt idx="2">
                  <c:v>32</c:v>
                </c:pt>
                <c:pt idx="3">
                  <c:v>35</c:v>
                </c:pt>
              </c:numCache>
            </c:numRef>
          </c:val>
          <c:extLst>
            <c:ext xmlns:c16="http://schemas.microsoft.com/office/drawing/2014/chart" uri="{C3380CC4-5D6E-409C-BE32-E72D297353CC}">
              <c16:uniqueId val="{00000001-C8DF-764E-8378-755862CCC9F1}"/>
            </c:ext>
          </c:extLst>
        </c:ser>
        <c:dLbls>
          <c:showLegendKey val="0"/>
          <c:showVal val="0"/>
          <c:showCatName val="0"/>
          <c:showSerName val="0"/>
          <c:showPercent val="0"/>
          <c:showBubbleSize val="0"/>
        </c:dLbls>
        <c:gapWidth val="150"/>
        <c:axId val="1887780159"/>
        <c:axId val="1887769855"/>
      </c:barChart>
      <c:lineChart>
        <c:grouping val="standard"/>
        <c:varyColors val="0"/>
        <c:ser>
          <c:idx val="2"/>
          <c:order val="2"/>
          <c:tx>
            <c:strRef>
              <c:f>错位法!$D$16</c:f>
              <c:strCache>
                <c:ptCount val="1"/>
                <c:pt idx="0">
                  <c:v>全年计划</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错位法!$A$17:$A$20</c:f>
              <c:strCache>
                <c:ptCount val="4"/>
                <c:pt idx="0">
                  <c:v>销售一部</c:v>
                </c:pt>
                <c:pt idx="1">
                  <c:v>销售二部</c:v>
                </c:pt>
                <c:pt idx="2">
                  <c:v>销售三部</c:v>
                </c:pt>
                <c:pt idx="3">
                  <c:v>销售四部</c:v>
                </c:pt>
              </c:strCache>
            </c:strRef>
          </c:cat>
          <c:val>
            <c:numRef>
              <c:f>错位法!$D$17:$D$20</c:f>
              <c:numCache>
                <c:formatCode>0%</c:formatCode>
                <c:ptCount val="4"/>
                <c:pt idx="0">
                  <c:v>0.53</c:v>
                </c:pt>
                <c:pt idx="1">
                  <c:v>0.6</c:v>
                </c:pt>
                <c:pt idx="2">
                  <c:v>0.47</c:v>
                </c:pt>
                <c:pt idx="3">
                  <c:v>0.55000000000000004</c:v>
                </c:pt>
              </c:numCache>
            </c:numRef>
          </c:val>
          <c:smooth val="0"/>
          <c:extLst>
            <c:ext xmlns:c16="http://schemas.microsoft.com/office/drawing/2014/chart" uri="{C3380CC4-5D6E-409C-BE32-E72D297353CC}">
              <c16:uniqueId val="{00000002-C8DF-764E-8378-755862CCC9F1}"/>
            </c:ext>
          </c:extLst>
        </c:ser>
        <c:dLbls>
          <c:showLegendKey val="0"/>
          <c:showVal val="0"/>
          <c:showCatName val="0"/>
          <c:showSerName val="0"/>
          <c:showPercent val="0"/>
          <c:showBubbleSize val="0"/>
        </c:dLbls>
        <c:marker val="1"/>
        <c:smooth val="0"/>
        <c:axId val="1895779839"/>
        <c:axId val="1895777151"/>
      </c:lineChart>
      <c:catAx>
        <c:axId val="188778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887769855"/>
        <c:crosses val="autoZero"/>
        <c:auto val="1"/>
        <c:lblAlgn val="ctr"/>
        <c:lblOffset val="100"/>
        <c:noMultiLvlLbl val="0"/>
      </c:catAx>
      <c:valAx>
        <c:axId val="1887769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887780159"/>
        <c:crosses val="autoZero"/>
        <c:crossBetween val="between"/>
      </c:valAx>
      <c:valAx>
        <c:axId val="189577715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895779839"/>
        <c:crosses val="max"/>
        <c:crossBetween val="between"/>
      </c:valAx>
      <c:catAx>
        <c:axId val="1895779839"/>
        <c:scaling>
          <c:orientation val="minMax"/>
        </c:scaling>
        <c:delete val="1"/>
        <c:axPos val="b"/>
        <c:numFmt formatCode="General" sourceLinked="1"/>
        <c:majorTickMark val="out"/>
        <c:minorTickMark val="none"/>
        <c:tickLblPos val="nextTo"/>
        <c:crossAx val="189577715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错位法!$B$31</c:f>
              <c:strCache>
                <c:ptCount val="1"/>
                <c:pt idx="0">
                  <c:v>营业额（万）</c:v>
                </c:pt>
              </c:strCache>
            </c:strRef>
          </c:tx>
          <c:spPr>
            <a:solidFill>
              <a:schemeClr val="accent1"/>
            </a:solidFill>
            <a:ln>
              <a:noFill/>
            </a:ln>
            <a:effectLst/>
          </c:spPr>
          <c:invertIfNegative val="0"/>
          <c:cat>
            <c:strRef>
              <c:f>错位法!$A$32:$A$36</c:f>
              <c:strCache>
                <c:ptCount val="5"/>
                <c:pt idx="0">
                  <c:v>北京</c:v>
                </c:pt>
                <c:pt idx="1">
                  <c:v>上海</c:v>
                </c:pt>
                <c:pt idx="2">
                  <c:v>广州</c:v>
                </c:pt>
                <c:pt idx="3">
                  <c:v>深圳</c:v>
                </c:pt>
                <c:pt idx="4">
                  <c:v>成都</c:v>
                </c:pt>
              </c:strCache>
            </c:strRef>
          </c:cat>
          <c:val>
            <c:numRef>
              <c:f>错位法!$B$32:$B$36</c:f>
              <c:numCache>
                <c:formatCode>General</c:formatCode>
                <c:ptCount val="5"/>
                <c:pt idx="0">
                  <c:v>76</c:v>
                </c:pt>
                <c:pt idx="1">
                  <c:v>88</c:v>
                </c:pt>
                <c:pt idx="2">
                  <c:v>85</c:v>
                </c:pt>
                <c:pt idx="3">
                  <c:v>89</c:v>
                </c:pt>
                <c:pt idx="4">
                  <c:v>88</c:v>
                </c:pt>
              </c:numCache>
            </c:numRef>
          </c:val>
          <c:extLst>
            <c:ext xmlns:c16="http://schemas.microsoft.com/office/drawing/2014/chart" uri="{C3380CC4-5D6E-409C-BE32-E72D297353CC}">
              <c16:uniqueId val="{00000000-3682-DB48-BC53-B4973B7530E6}"/>
            </c:ext>
          </c:extLst>
        </c:ser>
        <c:dLbls>
          <c:showLegendKey val="0"/>
          <c:showVal val="0"/>
          <c:showCatName val="0"/>
          <c:showSerName val="0"/>
          <c:showPercent val="0"/>
          <c:showBubbleSize val="0"/>
        </c:dLbls>
        <c:gapWidth val="150"/>
        <c:axId val="90396800"/>
        <c:axId val="24821056"/>
      </c:barChart>
      <c:barChart>
        <c:barDir val="col"/>
        <c:grouping val="clustered"/>
        <c:varyColors val="0"/>
        <c:ser>
          <c:idx val="1"/>
          <c:order val="1"/>
          <c:tx>
            <c:strRef>
              <c:f>错位法!$C$31</c:f>
              <c:strCache>
                <c:ptCount val="1"/>
                <c:pt idx="0">
                  <c:v>指标完成度</c:v>
                </c:pt>
              </c:strCache>
            </c:strRef>
          </c:tx>
          <c:spPr>
            <a:solidFill>
              <a:schemeClr val="accent2"/>
            </a:solidFill>
            <a:ln>
              <a:noFill/>
            </a:ln>
            <a:effectLst/>
          </c:spPr>
          <c:invertIfNegative val="0"/>
          <c:cat>
            <c:strRef>
              <c:f>错位法!$A$32:$A$36</c:f>
              <c:strCache>
                <c:ptCount val="5"/>
                <c:pt idx="0">
                  <c:v>北京</c:v>
                </c:pt>
                <c:pt idx="1">
                  <c:v>上海</c:v>
                </c:pt>
                <c:pt idx="2">
                  <c:v>广州</c:v>
                </c:pt>
                <c:pt idx="3">
                  <c:v>深圳</c:v>
                </c:pt>
                <c:pt idx="4">
                  <c:v>成都</c:v>
                </c:pt>
              </c:strCache>
            </c:strRef>
          </c:cat>
          <c:val>
            <c:numRef>
              <c:f>错位法!$C$32:$C$36</c:f>
              <c:numCache>
                <c:formatCode>0.0%</c:formatCode>
                <c:ptCount val="5"/>
                <c:pt idx="0">
                  <c:v>0.85699999999999998</c:v>
                </c:pt>
                <c:pt idx="1">
                  <c:v>0.89200000000000002</c:v>
                </c:pt>
                <c:pt idx="2">
                  <c:v>0.86399999999999999</c:v>
                </c:pt>
                <c:pt idx="3">
                  <c:v>0.95</c:v>
                </c:pt>
                <c:pt idx="4">
                  <c:v>0.92600000000000005</c:v>
                </c:pt>
              </c:numCache>
            </c:numRef>
          </c:val>
          <c:extLst>
            <c:ext xmlns:c16="http://schemas.microsoft.com/office/drawing/2014/chart" uri="{C3380CC4-5D6E-409C-BE32-E72D297353CC}">
              <c16:uniqueId val="{00000001-3682-DB48-BC53-B4973B7530E6}"/>
            </c:ext>
          </c:extLst>
        </c:ser>
        <c:dLbls>
          <c:showLegendKey val="0"/>
          <c:showVal val="0"/>
          <c:showCatName val="0"/>
          <c:showSerName val="0"/>
          <c:showPercent val="0"/>
          <c:showBubbleSize val="0"/>
        </c:dLbls>
        <c:gapWidth val="150"/>
        <c:axId val="2044553727"/>
        <c:axId val="2044545663"/>
      </c:barChart>
      <c:catAx>
        <c:axId val="90396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4821056"/>
        <c:crosses val="autoZero"/>
        <c:auto val="1"/>
        <c:lblAlgn val="ctr"/>
        <c:lblOffset val="100"/>
        <c:noMultiLvlLbl val="0"/>
      </c:catAx>
      <c:valAx>
        <c:axId val="24821056"/>
        <c:scaling>
          <c:orientation val="minMax"/>
          <c:max val="2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90396800"/>
        <c:crosses val="autoZero"/>
        <c:crossBetween val="between"/>
      </c:valAx>
      <c:valAx>
        <c:axId val="2044545663"/>
        <c:scaling>
          <c:orientation val="minMax"/>
          <c:min val="0"/>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044553727"/>
        <c:crosses val="max"/>
        <c:crossBetween val="between"/>
      </c:valAx>
      <c:catAx>
        <c:axId val="20445537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044545663"/>
        <c:crossesAt val="0.60000000000000009"/>
        <c:auto val="1"/>
        <c:lblAlgn val="ctr"/>
        <c:lblOffset val="100"/>
        <c:noMultiLvlLbl val="0"/>
      </c:catAx>
      <c:spPr>
        <a:pattFill prst="ltDnDiag">
          <a:fgClr>
            <a:schemeClr val="bg1">
              <a:lumMod val="75000"/>
            </a:schemeClr>
          </a:fgClr>
          <a:bgClr>
            <a:schemeClr val="bg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旋风图</a:t>
            </a:r>
          </a:p>
        </c:rich>
      </c:tx>
      <c:layout>
        <c:manualLayout>
          <c:xMode val="edge"/>
          <c:yMode val="edge"/>
          <c:x val="4.7586206896551721E-2"/>
          <c:y val="1.38856725880860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bar"/>
        <c:grouping val="clustered"/>
        <c:varyColors val="0"/>
        <c:ser>
          <c:idx val="0"/>
          <c:order val="0"/>
          <c:tx>
            <c:strRef>
              <c:f>错位法!$B$55</c:f>
              <c:strCache>
                <c:ptCount val="1"/>
                <c:pt idx="0">
                  <c:v>出口</c:v>
                </c:pt>
              </c:strCache>
            </c:strRef>
          </c:tx>
          <c:spPr>
            <a:solidFill>
              <a:schemeClr val="accent1"/>
            </a:solidFill>
            <a:ln>
              <a:no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zh-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错位法!$A$56:$A$61</c:f>
              <c:strCache>
                <c:ptCount val="6"/>
                <c:pt idx="0">
                  <c:v>2011年</c:v>
                </c:pt>
                <c:pt idx="1">
                  <c:v>2010年</c:v>
                </c:pt>
                <c:pt idx="2">
                  <c:v>2009年</c:v>
                </c:pt>
                <c:pt idx="3">
                  <c:v>2008年</c:v>
                </c:pt>
                <c:pt idx="4">
                  <c:v>2007年</c:v>
                </c:pt>
                <c:pt idx="5">
                  <c:v>2006年</c:v>
                </c:pt>
              </c:strCache>
            </c:strRef>
          </c:cat>
          <c:val>
            <c:numRef>
              <c:f>错位法!$B$56:$B$61</c:f>
              <c:numCache>
                <c:formatCode>0%</c:formatCode>
                <c:ptCount val="6"/>
                <c:pt idx="0">
                  <c:v>0.32</c:v>
                </c:pt>
                <c:pt idx="1">
                  <c:v>0.55000000000000004</c:v>
                </c:pt>
                <c:pt idx="2">
                  <c:v>0.6</c:v>
                </c:pt>
                <c:pt idx="3">
                  <c:v>0.73</c:v>
                </c:pt>
                <c:pt idx="4">
                  <c:v>0.82</c:v>
                </c:pt>
                <c:pt idx="5">
                  <c:v>0.76</c:v>
                </c:pt>
              </c:numCache>
            </c:numRef>
          </c:val>
          <c:extLst>
            <c:ext xmlns:c16="http://schemas.microsoft.com/office/drawing/2014/chart" uri="{C3380CC4-5D6E-409C-BE32-E72D297353CC}">
              <c16:uniqueId val="{00000000-E464-F447-AA9F-B2B407DA7CCE}"/>
            </c:ext>
          </c:extLst>
        </c:ser>
        <c:dLbls>
          <c:showLegendKey val="0"/>
          <c:showVal val="0"/>
          <c:showCatName val="0"/>
          <c:showSerName val="0"/>
          <c:showPercent val="0"/>
          <c:showBubbleSize val="0"/>
        </c:dLbls>
        <c:gapWidth val="100"/>
        <c:axId val="109197312"/>
        <c:axId val="109191488"/>
      </c:barChart>
      <c:barChart>
        <c:barDir val="bar"/>
        <c:grouping val="clustered"/>
        <c:varyColors val="0"/>
        <c:ser>
          <c:idx val="1"/>
          <c:order val="1"/>
          <c:tx>
            <c:strRef>
              <c:f>错位法!$C$55</c:f>
              <c:strCache>
                <c:ptCount val="1"/>
                <c:pt idx="0">
                  <c:v>内销</c:v>
                </c:pt>
              </c:strCache>
            </c:strRef>
          </c:tx>
          <c:spPr>
            <a:solidFill>
              <a:schemeClr val="accent2"/>
            </a:solidFill>
            <a:ln>
              <a:no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zh-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错位法!$A$56:$A$61</c:f>
              <c:strCache>
                <c:ptCount val="6"/>
                <c:pt idx="0">
                  <c:v>2011年</c:v>
                </c:pt>
                <c:pt idx="1">
                  <c:v>2010年</c:v>
                </c:pt>
                <c:pt idx="2">
                  <c:v>2009年</c:v>
                </c:pt>
                <c:pt idx="3">
                  <c:v>2008年</c:v>
                </c:pt>
                <c:pt idx="4">
                  <c:v>2007年</c:v>
                </c:pt>
                <c:pt idx="5">
                  <c:v>2006年</c:v>
                </c:pt>
              </c:strCache>
            </c:strRef>
          </c:cat>
          <c:val>
            <c:numRef>
              <c:f>错位法!$C$56:$C$61</c:f>
              <c:numCache>
                <c:formatCode>0%</c:formatCode>
                <c:ptCount val="6"/>
                <c:pt idx="0">
                  <c:v>0.67999999999999994</c:v>
                </c:pt>
                <c:pt idx="1">
                  <c:v>0.44999999999999996</c:v>
                </c:pt>
                <c:pt idx="2">
                  <c:v>0.4</c:v>
                </c:pt>
                <c:pt idx="3">
                  <c:v>0.27</c:v>
                </c:pt>
                <c:pt idx="4">
                  <c:v>0.18000000000000005</c:v>
                </c:pt>
                <c:pt idx="5">
                  <c:v>0.24</c:v>
                </c:pt>
              </c:numCache>
            </c:numRef>
          </c:val>
          <c:extLst>
            <c:ext xmlns:c16="http://schemas.microsoft.com/office/drawing/2014/chart" uri="{C3380CC4-5D6E-409C-BE32-E72D297353CC}">
              <c16:uniqueId val="{00000001-E464-F447-AA9F-B2B407DA7CCE}"/>
            </c:ext>
          </c:extLst>
        </c:ser>
        <c:dLbls>
          <c:showLegendKey val="0"/>
          <c:showVal val="0"/>
          <c:showCatName val="0"/>
          <c:showSerName val="0"/>
          <c:showPercent val="0"/>
          <c:showBubbleSize val="0"/>
        </c:dLbls>
        <c:gapWidth val="100"/>
        <c:axId val="60064640"/>
        <c:axId val="62772480"/>
      </c:barChart>
      <c:catAx>
        <c:axId val="109197312"/>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9191488"/>
        <c:crosses val="autoZero"/>
        <c:auto val="1"/>
        <c:lblAlgn val="ctr"/>
        <c:lblOffset val="100"/>
        <c:noMultiLvlLbl val="0"/>
      </c:catAx>
      <c:valAx>
        <c:axId val="109191488"/>
        <c:scaling>
          <c:orientation val="minMax"/>
          <c:min val="-1"/>
        </c:scaling>
        <c:delete val="0"/>
        <c:axPos val="b"/>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9197312"/>
        <c:crosses val="autoZero"/>
        <c:crossBetween val="between"/>
        <c:majorUnit val="0.2"/>
      </c:valAx>
      <c:valAx>
        <c:axId val="62772480"/>
        <c:scaling>
          <c:orientation val="maxMin"/>
          <c:max val="1"/>
          <c:min val="-1"/>
        </c:scaling>
        <c:delete val="1"/>
        <c:axPos val="t"/>
        <c:numFmt formatCode="0%" sourceLinked="1"/>
        <c:majorTickMark val="out"/>
        <c:minorTickMark val="none"/>
        <c:tickLblPos val="nextTo"/>
        <c:crossAx val="60064640"/>
        <c:crosses val="max"/>
        <c:crossBetween val="between"/>
        <c:majorUnit val="0.2"/>
      </c:valAx>
      <c:catAx>
        <c:axId val="60064640"/>
        <c:scaling>
          <c:orientation val="minMax"/>
        </c:scaling>
        <c:delete val="1"/>
        <c:axPos val="r"/>
        <c:numFmt formatCode="General" sourceLinked="1"/>
        <c:majorTickMark val="out"/>
        <c:minorTickMark val="none"/>
        <c:tickLblPos val="nextTo"/>
        <c:crossAx val="62772480"/>
        <c:crosses val="autoZero"/>
        <c:auto val="1"/>
        <c:lblAlgn val="ctr"/>
        <c:lblOffset val="100"/>
        <c:noMultiLvlLbl val="0"/>
      </c:catAx>
      <c:spPr>
        <a:noFill/>
        <a:ln>
          <a:noFill/>
        </a:ln>
        <a:effectLst/>
      </c:spPr>
    </c:plotArea>
    <c:legend>
      <c:legendPos val="b"/>
      <c:layout>
        <c:manualLayout>
          <c:xMode val="edge"/>
          <c:yMode val="edge"/>
          <c:x val="4.0804344284550646E-2"/>
          <c:y val="7.2797442587117289E-2"/>
          <c:w val="0.18459820798262283"/>
          <c:h val="4.685091532822996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错位法!$B$79</c:f>
              <c:strCache>
                <c:ptCount val="1"/>
                <c:pt idx="0">
                  <c:v>营业额（万）</c:v>
                </c:pt>
              </c:strCache>
            </c:strRef>
          </c:tx>
          <c:spPr>
            <a:solidFill>
              <a:schemeClr val="accent1"/>
            </a:solidFill>
            <a:ln>
              <a:noFill/>
            </a:ln>
            <a:effectLst/>
          </c:spPr>
          <c:invertIfNegative val="0"/>
          <c:cat>
            <c:strRef>
              <c:f>错位法!$A$80:$A$84</c:f>
              <c:strCache>
                <c:ptCount val="5"/>
                <c:pt idx="0">
                  <c:v>北京</c:v>
                </c:pt>
                <c:pt idx="1">
                  <c:v>上海</c:v>
                </c:pt>
                <c:pt idx="2">
                  <c:v>广州</c:v>
                </c:pt>
                <c:pt idx="3">
                  <c:v>深圳</c:v>
                </c:pt>
                <c:pt idx="4">
                  <c:v>成都</c:v>
                </c:pt>
              </c:strCache>
            </c:strRef>
          </c:cat>
          <c:val>
            <c:numRef>
              <c:f>错位法!$B$80:$B$84</c:f>
              <c:numCache>
                <c:formatCode>General</c:formatCode>
                <c:ptCount val="5"/>
                <c:pt idx="0">
                  <c:v>76</c:v>
                </c:pt>
                <c:pt idx="1">
                  <c:v>88</c:v>
                </c:pt>
                <c:pt idx="2">
                  <c:v>85</c:v>
                </c:pt>
                <c:pt idx="3">
                  <c:v>89</c:v>
                </c:pt>
                <c:pt idx="4">
                  <c:v>88</c:v>
                </c:pt>
              </c:numCache>
            </c:numRef>
          </c:val>
          <c:extLst>
            <c:ext xmlns:c16="http://schemas.microsoft.com/office/drawing/2014/chart" uri="{C3380CC4-5D6E-409C-BE32-E72D297353CC}">
              <c16:uniqueId val="{00000000-9231-084B-8BEE-E3597C83023A}"/>
            </c:ext>
          </c:extLst>
        </c:ser>
        <c:dLbls>
          <c:showLegendKey val="0"/>
          <c:showVal val="0"/>
          <c:showCatName val="0"/>
          <c:showSerName val="0"/>
          <c:showPercent val="0"/>
          <c:showBubbleSize val="0"/>
        </c:dLbls>
        <c:gapWidth val="180"/>
        <c:overlap val="-27"/>
        <c:axId val="1396447807"/>
        <c:axId val="1396448255"/>
      </c:barChart>
      <c:barChart>
        <c:barDir val="col"/>
        <c:grouping val="clustered"/>
        <c:varyColors val="0"/>
        <c:ser>
          <c:idx val="1"/>
          <c:order val="1"/>
          <c:tx>
            <c:strRef>
              <c:f>错位法!$C$79</c:f>
              <c:strCache>
                <c:ptCount val="1"/>
                <c:pt idx="0">
                  <c:v>指标完成度</c:v>
                </c:pt>
              </c:strCache>
            </c:strRef>
          </c:tx>
          <c:spPr>
            <a:solidFill>
              <a:schemeClr val="accent2"/>
            </a:solidFill>
            <a:ln>
              <a:noFill/>
            </a:ln>
            <a:effectLst/>
          </c:spPr>
          <c:invertIfNegative val="0"/>
          <c:cat>
            <c:strRef>
              <c:f>错位法!$A$80:$A$84</c:f>
              <c:strCache>
                <c:ptCount val="5"/>
                <c:pt idx="0">
                  <c:v>北京</c:v>
                </c:pt>
                <c:pt idx="1">
                  <c:v>上海</c:v>
                </c:pt>
                <c:pt idx="2">
                  <c:v>广州</c:v>
                </c:pt>
                <c:pt idx="3">
                  <c:v>深圳</c:v>
                </c:pt>
                <c:pt idx="4">
                  <c:v>成都</c:v>
                </c:pt>
              </c:strCache>
            </c:strRef>
          </c:cat>
          <c:val>
            <c:numRef>
              <c:f>错位法!$C$80:$C$84</c:f>
              <c:numCache>
                <c:formatCode>0.0%</c:formatCode>
                <c:ptCount val="5"/>
                <c:pt idx="0">
                  <c:v>0.85699999999999998</c:v>
                </c:pt>
                <c:pt idx="1">
                  <c:v>0.89200000000000002</c:v>
                </c:pt>
                <c:pt idx="2">
                  <c:v>0.86399999999999999</c:v>
                </c:pt>
                <c:pt idx="3">
                  <c:v>0.95</c:v>
                </c:pt>
                <c:pt idx="4">
                  <c:v>0.92600000000000005</c:v>
                </c:pt>
              </c:numCache>
            </c:numRef>
          </c:val>
          <c:extLst>
            <c:ext xmlns:c16="http://schemas.microsoft.com/office/drawing/2014/chart" uri="{C3380CC4-5D6E-409C-BE32-E72D297353CC}">
              <c16:uniqueId val="{00000001-9231-084B-8BEE-E3597C83023A}"/>
            </c:ext>
          </c:extLst>
        </c:ser>
        <c:dLbls>
          <c:showLegendKey val="0"/>
          <c:showVal val="0"/>
          <c:showCatName val="0"/>
          <c:showSerName val="0"/>
          <c:showPercent val="0"/>
          <c:showBubbleSize val="0"/>
        </c:dLbls>
        <c:gapWidth val="180"/>
        <c:overlap val="-27"/>
        <c:axId val="1669600511"/>
        <c:axId val="1669597823"/>
      </c:barChart>
      <c:catAx>
        <c:axId val="1396447807"/>
        <c:scaling>
          <c:orientation val="minMax"/>
        </c:scaling>
        <c:delete val="0"/>
        <c:axPos val="t"/>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zh-CN"/>
          </a:p>
        </c:txPr>
        <c:crossAx val="1396448255"/>
        <c:crossesAt val="40"/>
        <c:auto val="1"/>
        <c:lblAlgn val="ctr"/>
        <c:lblOffset val="100"/>
        <c:noMultiLvlLbl val="0"/>
      </c:catAx>
      <c:valAx>
        <c:axId val="1396448255"/>
        <c:scaling>
          <c:orientation val="maxMin"/>
          <c:max val="1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96447807"/>
        <c:crosses val="autoZero"/>
        <c:crossBetween val="between"/>
      </c:valAx>
      <c:valAx>
        <c:axId val="1669597823"/>
        <c:scaling>
          <c:orientation val="minMax"/>
          <c:min val="0.5"/>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669600511"/>
        <c:crosses val="max"/>
        <c:crossBetween val="between"/>
      </c:valAx>
      <c:catAx>
        <c:axId val="16696005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zh-CN"/>
          </a:p>
        </c:txPr>
        <c:crossAx val="1669597823"/>
        <c:crossesAt val="0.8"/>
        <c:auto val="1"/>
        <c:lblAlgn val="ctr"/>
        <c:lblOffset val="100"/>
        <c:noMultiLvlLbl val="0"/>
      </c:catAx>
      <c:spPr>
        <a:pattFill prst="dkVert">
          <a:fgClr>
            <a:schemeClr val="bg1">
              <a:lumMod val="95000"/>
            </a:schemeClr>
          </a:fgClr>
          <a:bgClr>
            <a:schemeClr val="bg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错位法!$B$102</c:f>
              <c:strCache>
                <c:ptCount val="1"/>
                <c:pt idx="0">
                  <c:v>营业额（万）</c:v>
                </c:pt>
              </c:strCache>
            </c:strRef>
          </c:tx>
          <c:spPr>
            <a:solidFill>
              <a:schemeClr val="accent1"/>
            </a:solidFill>
            <a:ln>
              <a:noFill/>
            </a:ln>
            <a:effectLst>
              <a:outerShdw blurRad="63500" sx="102000" sy="102000" algn="c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错位法!$A$103:$A$107</c:f>
              <c:strCache>
                <c:ptCount val="5"/>
                <c:pt idx="0">
                  <c:v>北京</c:v>
                </c:pt>
                <c:pt idx="1">
                  <c:v>上海</c:v>
                </c:pt>
                <c:pt idx="2">
                  <c:v>广州</c:v>
                </c:pt>
                <c:pt idx="3">
                  <c:v>深圳</c:v>
                </c:pt>
                <c:pt idx="4">
                  <c:v>成都</c:v>
                </c:pt>
              </c:strCache>
            </c:strRef>
          </c:cat>
          <c:val>
            <c:numRef>
              <c:f>错位法!$B$103:$B$107</c:f>
              <c:numCache>
                <c:formatCode>General</c:formatCode>
                <c:ptCount val="5"/>
                <c:pt idx="0">
                  <c:v>76</c:v>
                </c:pt>
                <c:pt idx="1">
                  <c:v>88</c:v>
                </c:pt>
                <c:pt idx="2">
                  <c:v>85</c:v>
                </c:pt>
                <c:pt idx="3">
                  <c:v>89</c:v>
                </c:pt>
                <c:pt idx="4">
                  <c:v>88</c:v>
                </c:pt>
              </c:numCache>
            </c:numRef>
          </c:val>
          <c:extLst>
            <c:ext xmlns:c16="http://schemas.microsoft.com/office/drawing/2014/chart" uri="{C3380CC4-5D6E-409C-BE32-E72D297353CC}">
              <c16:uniqueId val="{00000000-B986-404D-A239-D4AD62796684}"/>
            </c:ext>
          </c:extLst>
        </c:ser>
        <c:dLbls>
          <c:showLegendKey val="0"/>
          <c:showVal val="0"/>
          <c:showCatName val="0"/>
          <c:showSerName val="0"/>
          <c:showPercent val="0"/>
          <c:showBubbleSize val="0"/>
        </c:dLbls>
        <c:gapWidth val="150"/>
        <c:axId val="2143967359"/>
        <c:axId val="2143961983"/>
      </c:barChart>
      <c:lineChart>
        <c:grouping val="standard"/>
        <c:varyColors val="0"/>
        <c:ser>
          <c:idx val="1"/>
          <c:order val="1"/>
          <c:tx>
            <c:strRef>
              <c:f>错位法!$C$102</c:f>
              <c:strCache>
                <c:ptCount val="1"/>
                <c:pt idx="0">
                  <c:v>指标完成度</c:v>
                </c:pt>
              </c:strCache>
            </c:strRef>
          </c:tx>
          <c:spPr>
            <a:ln w="41275" cap="rnd">
              <a:solidFill>
                <a:schemeClr val="bg1">
                  <a:lumMod val="65000"/>
                </a:schemeClr>
              </a:solidFill>
              <a:round/>
            </a:ln>
            <a:effectLst>
              <a:outerShdw blurRad="63500" sx="102000" sy="102000" algn="ctr" rotWithShape="0">
                <a:prstClr val="black">
                  <a:alpha val="40000"/>
                </a:prstClr>
              </a:outerShdw>
            </a:effectLst>
          </c:spPr>
          <c:marker>
            <c:symbol val="square"/>
            <c:size val="10"/>
            <c:spPr>
              <a:solidFill>
                <a:schemeClr val="bg1">
                  <a:lumMod val="65000"/>
                </a:schemeClr>
              </a:solidFill>
              <a:ln w="9525">
                <a:noFill/>
              </a:ln>
              <a:effectLst>
                <a:outerShdw blurRad="63500" sx="102000" sy="102000" algn="ctr" rotWithShape="0">
                  <a:prstClr val="black">
                    <a:alpha val="40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错位法!$A$103:$A$107</c:f>
              <c:strCache>
                <c:ptCount val="5"/>
                <c:pt idx="0">
                  <c:v>北京</c:v>
                </c:pt>
                <c:pt idx="1">
                  <c:v>上海</c:v>
                </c:pt>
                <c:pt idx="2">
                  <c:v>广州</c:v>
                </c:pt>
                <c:pt idx="3">
                  <c:v>深圳</c:v>
                </c:pt>
                <c:pt idx="4">
                  <c:v>成都</c:v>
                </c:pt>
              </c:strCache>
            </c:strRef>
          </c:cat>
          <c:val>
            <c:numRef>
              <c:f>错位法!$C$103:$C$107</c:f>
              <c:numCache>
                <c:formatCode>0.0%</c:formatCode>
                <c:ptCount val="5"/>
                <c:pt idx="0">
                  <c:v>0.85699999999999998</c:v>
                </c:pt>
                <c:pt idx="1">
                  <c:v>0.89200000000000002</c:v>
                </c:pt>
                <c:pt idx="2">
                  <c:v>0.86399999999999999</c:v>
                </c:pt>
                <c:pt idx="3">
                  <c:v>0.95</c:v>
                </c:pt>
                <c:pt idx="4">
                  <c:v>0.92600000000000005</c:v>
                </c:pt>
              </c:numCache>
            </c:numRef>
          </c:val>
          <c:smooth val="0"/>
          <c:extLst>
            <c:ext xmlns:c16="http://schemas.microsoft.com/office/drawing/2014/chart" uri="{C3380CC4-5D6E-409C-BE32-E72D297353CC}">
              <c16:uniqueId val="{00000001-B986-404D-A239-D4AD62796684}"/>
            </c:ext>
          </c:extLst>
        </c:ser>
        <c:dLbls>
          <c:showLegendKey val="0"/>
          <c:showVal val="0"/>
          <c:showCatName val="0"/>
          <c:showSerName val="0"/>
          <c:showPercent val="0"/>
          <c:showBubbleSize val="0"/>
        </c:dLbls>
        <c:marker val="1"/>
        <c:smooth val="0"/>
        <c:axId val="2144025023"/>
        <c:axId val="2144022335"/>
      </c:lineChart>
      <c:catAx>
        <c:axId val="214396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143961983"/>
        <c:crosses val="autoZero"/>
        <c:auto val="1"/>
        <c:lblAlgn val="ctr"/>
        <c:lblOffset val="100"/>
        <c:noMultiLvlLbl val="0"/>
      </c:catAx>
      <c:valAx>
        <c:axId val="2143961983"/>
        <c:scaling>
          <c:orientation val="minMax"/>
          <c:max val="140"/>
          <c:min val="60"/>
        </c:scaling>
        <c:delete val="0"/>
        <c:axPos val="l"/>
        <c:majorGridlines>
          <c:spPr>
            <a:ln w="9525" cap="flat" cmpd="sng" algn="ctr">
              <a:solidFill>
                <a:schemeClr val="bg1">
                  <a:lumMod val="7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zh-CN"/>
          </a:p>
        </c:txPr>
        <c:crossAx val="2143967359"/>
        <c:crosses val="autoZero"/>
        <c:crossBetween val="between"/>
        <c:majorUnit val="20"/>
      </c:valAx>
      <c:valAx>
        <c:axId val="2144022335"/>
        <c:scaling>
          <c:orientation val="minMax"/>
          <c:max val="1.05"/>
          <c:min val="0.65000000000000013"/>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zh-CN"/>
          </a:p>
        </c:txPr>
        <c:crossAx val="2144025023"/>
        <c:crosses val="max"/>
        <c:crossBetween val="between"/>
      </c:valAx>
      <c:catAx>
        <c:axId val="2144025023"/>
        <c:scaling>
          <c:orientation val="minMax"/>
        </c:scaling>
        <c:delete val="1"/>
        <c:axPos val="b"/>
        <c:numFmt formatCode="General" sourceLinked="1"/>
        <c:majorTickMark val="out"/>
        <c:minorTickMark val="none"/>
        <c:tickLblPos val="nextTo"/>
        <c:crossAx val="2144022335"/>
        <c:crosses val="autoZero"/>
        <c:auto val="1"/>
        <c:lblAlgn val="ctr"/>
        <c:lblOffset val="100"/>
        <c:noMultiLvlLbl val="0"/>
      </c:catAx>
      <c:spPr>
        <a:noFill/>
        <a:ln>
          <a:noFill/>
        </a:ln>
        <a:effectLst/>
      </c:spPr>
    </c:plotArea>
    <c:legend>
      <c:legendPos val="t"/>
      <c:layout>
        <c:manualLayout>
          <c:xMode val="edge"/>
          <c:yMode val="edge"/>
          <c:x val="3.833333333333333E-2"/>
          <c:y val="1.6067837482047567E-2"/>
          <c:w val="0.49"/>
          <c:h val="4.519110921427221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stacked"/>
        <c:varyColors val="0"/>
        <c:ser>
          <c:idx val="0"/>
          <c:order val="0"/>
          <c:tx>
            <c:strRef>
              <c:f>欺骗法!$B$1</c:f>
              <c:strCache>
                <c:ptCount val="1"/>
                <c:pt idx="0">
                  <c:v>销售一部</c:v>
                </c:pt>
              </c:strCache>
            </c:strRef>
          </c:tx>
          <c:spPr>
            <a:solidFill>
              <a:schemeClr val="accent1">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欺骗法!$A$2:$A$10</c:f>
              <c:strCache>
                <c:ptCount val="9"/>
                <c:pt idx="0">
                  <c:v>1月</c:v>
                </c:pt>
                <c:pt idx="1">
                  <c:v>2月</c:v>
                </c:pt>
                <c:pt idx="2">
                  <c:v>3月</c:v>
                </c:pt>
                <c:pt idx="3">
                  <c:v>4月</c:v>
                </c:pt>
                <c:pt idx="4">
                  <c:v>5月</c:v>
                </c:pt>
                <c:pt idx="5">
                  <c:v>6月</c:v>
                </c:pt>
                <c:pt idx="6">
                  <c:v>7月</c:v>
                </c:pt>
                <c:pt idx="7">
                  <c:v>8月</c:v>
                </c:pt>
                <c:pt idx="8">
                  <c:v>9月</c:v>
                </c:pt>
              </c:strCache>
            </c:strRef>
          </c:cat>
          <c:val>
            <c:numRef>
              <c:f>欺骗法!$B$2:$B$10</c:f>
              <c:numCache>
                <c:formatCode>General</c:formatCode>
                <c:ptCount val="9"/>
                <c:pt idx="0">
                  <c:v>158</c:v>
                </c:pt>
                <c:pt idx="1">
                  <c:v>75</c:v>
                </c:pt>
                <c:pt idx="2">
                  <c:v>141</c:v>
                </c:pt>
                <c:pt idx="3">
                  <c:v>39</c:v>
                </c:pt>
                <c:pt idx="4">
                  <c:v>33</c:v>
                </c:pt>
                <c:pt idx="5">
                  <c:v>108</c:v>
                </c:pt>
                <c:pt idx="6">
                  <c:v>138</c:v>
                </c:pt>
                <c:pt idx="7">
                  <c:v>56</c:v>
                </c:pt>
                <c:pt idx="8">
                  <c:v>99</c:v>
                </c:pt>
              </c:numCache>
            </c:numRef>
          </c:val>
          <c:extLst>
            <c:ext xmlns:c16="http://schemas.microsoft.com/office/drawing/2014/chart" uri="{C3380CC4-5D6E-409C-BE32-E72D297353CC}">
              <c16:uniqueId val="{00000000-2CD3-3441-9976-15E90445A325}"/>
            </c:ext>
          </c:extLst>
        </c:ser>
        <c:ser>
          <c:idx val="1"/>
          <c:order val="1"/>
          <c:tx>
            <c:strRef>
              <c:f>欺骗法!$C$1</c:f>
              <c:strCache>
                <c:ptCount val="1"/>
                <c:pt idx="0">
                  <c:v>销售二部</c:v>
                </c:pt>
              </c:strCache>
            </c:strRef>
          </c:tx>
          <c:spPr>
            <a:solidFill>
              <a:schemeClr val="accent1">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欺骗法!$A$2:$A$10</c:f>
              <c:strCache>
                <c:ptCount val="9"/>
                <c:pt idx="0">
                  <c:v>1月</c:v>
                </c:pt>
                <c:pt idx="1">
                  <c:v>2月</c:v>
                </c:pt>
                <c:pt idx="2">
                  <c:v>3月</c:v>
                </c:pt>
                <c:pt idx="3">
                  <c:v>4月</c:v>
                </c:pt>
                <c:pt idx="4">
                  <c:v>5月</c:v>
                </c:pt>
                <c:pt idx="5">
                  <c:v>6月</c:v>
                </c:pt>
                <c:pt idx="6">
                  <c:v>7月</c:v>
                </c:pt>
                <c:pt idx="7">
                  <c:v>8月</c:v>
                </c:pt>
                <c:pt idx="8">
                  <c:v>9月</c:v>
                </c:pt>
              </c:strCache>
            </c:strRef>
          </c:cat>
          <c:val>
            <c:numRef>
              <c:f>欺骗法!$C$2:$C$10</c:f>
              <c:numCache>
                <c:formatCode>General</c:formatCode>
                <c:ptCount val="9"/>
                <c:pt idx="0">
                  <c:v>249</c:v>
                </c:pt>
                <c:pt idx="1">
                  <c:v>404</c:v>
                </c:pt>
                <c:pt idx="2">
                  <c:v>119</c:v>
                </c:pt>
                <c:pt idx="3">
                  <c:v>56</c:v>
                </c:pt>
                <c:pt idx="4">
                  <c:v>30</c:v>
                </c:pt>
                <c:pt idx="5">
                  <c:v>145</c:v>
                </c:pt>
                <c:pt idx="6">
                  <c:v>52</c:v>
                </c:pt>
                <c:pt idx="7">
                  <c:v>155</c:v>
                </c:pt>
                <c:pt idx="8">
                  <c:v>102</c:v>
                </c:pt>
              </c:numCache>
            </c:numRef>
          </c:val>
          <c:extLst>
            <c:ext xmlns:c16="http://schemas.microsoft.com/office/drawing/2014/chart" uri="{C3380CC4-5D6E-409C-BE32-E72D297353CC}">
              <c16:uniqueId val="{00000001-2CD3-3441-9976-15E90445A325}"/>
            </c:ext>
          </c:extLst>
        </c:ser>
        <c:ser>
          <c:idx val="2"/>
          <c:order val="2"/>
          <c:tx>
            <c:strRef>
              <c:f>欺骗法!$D$1</c:f>
              <c:strCache>
                <c:ptCount val="1"/>
                <c:pt idx="0">
                  <c:v>销售三部</c:v>
                </c:pt>
              </c:strCache>
            </c:strRef>
          </c:tx>
          <c:spPr>
            <a:solidFill>
              <a:schemeClr val="accent1">
                <a:tint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欺骗法!$A$2:$A$10</c:f>
              <c:strCache>
                <c:ptCount val="9"/>
                <c:pt idx="0">
                  <c:v>1月</c:v>
                </c:pt>
                <c:pt idx="1">
                  <c:v>2月</c:v>
                </c:pt>
                <c:pt idx="2">
                  <c:v>3月</c:v>
                </c:pt>
                <c:pt idx="3">
                  <c:v>4月</c:v>
                </c:pt>
                <c:pt idx="4">
                  <c:v>5月</c:v>
                </c:pt>
                <c:pt idx="5">
                  <c:v>6月</c:v>
                </c:pt>
                <c:pt idx="6">
                  <c:v>7月</c:v>
                </c:pt>
                <c:pt idx="7">
                  <c:v>8月</c:v>
                </c:pt>
                <c:pt idx="8">
                  <c:v>9月</c:v>
                </c:pt>
              </c:strCache>
            </c:strRef>
          </c:cat>
          <c:val>
            <c:numRef>
              <c:f>欺骗法!$D$2:$D$10</c:f>
              <c:numCache>
                <c:formatCode>General</c:formatCode>
                <c:ptCount val="9"/>
                <c:pt idx="0">
                  <c:v>82</c:v>
                </c:pt>
                <c:pt idx="1">
                  <c:v>270</c:v>
                </c:pt>
                <c:pt idx="2">
                  <c:v>226</c:v>
                </c:pt>
                <c:pt idx="3">
                  <c:v>52</c:v>
                </c:pt>
                <c:pt idx="4">
                  <c:v>56</c:v>
                </c:pt>
                <c:pt idx="5">
                  <c:v>63</c:v>
                </c:pt>
                <c:pt idx="6">
                  <c:v>91</c:v>
                </c:pt>
                <c:pt idx="7">
                  <c:v>185</c:v>
                </c:pt>
                <c:pt idx="8">
                  <c:v>105</c:v>
                </c:pt>
              </c:numCache>
            </c:numRef>
          </c:val>
          <c:extLst>
            <c:ext xmlns:c16="http://schemas.microsoft.com/office/drawing/2014/chart" uri="{C3380CC4-5D6E-409C-BE32-E72D297353CC}">
              <c16:uniqueId val="{00000002-2CD3-3441-9976-15E90445A325}"/>
            </c:ext>
          </c:extLst>
        </c:ser>
        <c:dLbls>
          <c:showLegendKey val="0"/>
          <c:showVal val="0"/>
          <c:showCatName val="0"/>
          <c:showSerName val="0"/>
          <c:showPercent val="0"/>
          <c:showBubbleSize val="0"/>
        </c:dLbls>
        <c:gapWidth val="60"/>
        <c:overlap val="100"/>
        <c:serLines>
          <c:spPr>
            <a:ln w="9525" cap="flat" cmpd="sng" algn="ctr">
              <a:solidFill>
                <a:schemeClr val="tx1">
                  <a:lumMod val="35000"/>
                  <a:lumOff val="65000"/>
                </a:schemeClr>
              </a:solidFill>
              <a:round/>
            </a:ln>
            <a:effectLst/>
          </c:spPr>
        </c:serLines>
        <c:axId val="1786883007"/>
        <c:axId val="1786881663"/>
      </c:barChart>
      <c:lineChart>
        <c:grouping val="standard"/>
        <c:varyColors val="0"/>
        <c:ser>
          <c:idx val="3"/>
          <c:order val="3"/>
          <c:tx>
            <c:strRef>
              <c:f>欺骗法!$E$1</c:f>
              <c:strCache>
                <c:ptCount val="1"/>
                <c:pt idx="0">
                  <c:v>总计</c:v>
                </c:pt>
              </c:strCache>
            </c:strRef>
          </c:tx>
          <c:spPr>
            <a:ln w="28575"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t"/>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欺骗法!$A$2:$A$10</c:f>
              <c:strCache>
                <c:ptCount val="9"/>
                <c:pt idx="0">
                  <c:v>1月</c:v>
                </c:pt>
                <c:pt idx="1">
                  <c:v>2月</c:v>
                </c:pt>
                <c:pt idx="2">
                  <c:v>3月</c:v>
                </c:pt>
                <c:pt idx="3">
                  <c:v>4月</c:v>
                </c:pt>
                <c:pt idx="4">
                  <c:v>5月</c:v>
                </c:pt>
                <c:pt idx="5">
                  <c:v>6月</c:v>
                </c:pt>
                <c:pt idx="6">
                  <c:v>7月</c:v>
                </c:pt>
                <c:pt idx="7">
                  <c:v>8月</c:v>
                </c:pt>
                <c:pt idx="8">
                  <c:v>9月</c:v>
                </c:pt>
              </c:strCache>
            </c:strRef>
          </c:cat>
          <c:val>
            <c:numRef>
              <c:f>欺骗法!$E$2:$E$10</c:f>
              <c:numCache>
                <c:formatCode>General</c:formatCode>
                <c:ptCount val="9"/>
                <c:pt idx="0">
                  <c:v>489</c:v>
                </c:pt>
                <c:pt idx="1">
                  <c:v>749</c:v>
                </c:pt>
                <c:pt idx="2">
                  <c:v>486</c:v>
                </c:pt>
                <c:pt idx="3">
                  <c:v>147</c:v>
                </c:pt>
                <c:pt idx="4">
                  <c:v>119</c:v>
                </c:pt>
                <c:pt idx="5">
                  <c:v>316</c:v>
                </c:pt>
                <c:pt idx="6">
                  <c:v>281</c:v>
                </c:pt>
                <c:pt idx="7">
                  <c:v>396</c:v>
                </c:pt>
                <c:pt idx="8">
                  <c:v>306</c:v>
                </c:pt>
              </c:numCache>
            </c:numRef>
          </c:val>
          <c:smooth val="0"/>
          <c:extLst>
            <c:ext xmlns:c16="http://schemas.microsoft.com/office/drawing/2014/chart" uri="{C3380CC4-5D6E-409C-BE32-E72D297353CC}">
              <c16:uniqueId val="{00000003-2CD3-3441-9976-15E90445A325}"/>
            </c:ext>
          </c:extLst>
        </c:ser>
        <c:dLbls>
          <c:showLegendKey val="0"/>
          <c:showVal val="0"/>
          <c:showCatName val="0"/>
          <c:showSerName val="0"/>
          <c:showPercent val="0"/>
          <c:showBubbleSize val="0"/>
        </c:dLbls>
        <c:marker val="1"/>
        <c:smooth val="0"/>
        <c:axId val="1786883007"/>
        <c:axId val="1786881663"/>
      </c:lineChart>
      <c:catAx>
        <c:axId val="178688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786881663"/>
        <c:crosses val="autoZero"/>
        <c:auto val="1"/>
        <c:lblAlgn val="ctr"/>
        <c:lblOffset val="100"/>
        <c:noMultiLvlLbl val="0"/>
      </c:catAx>
      <c:valAx>
        <c:axId val="1786881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7868830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欺骗法!$B$1</c:f>
              <c:strCache>
                <c:ptCount val="1"/>
                <c:pt idx="0">
                  <c:v>销售一部</c:v>
                </c:pt>
              </c:strCache>
            </c:strRef>
          </c:tx>
          <c:spPr>
            <a:solidFill>
              <a:schemeClr val="accent1"/>
            </a:solidFill>
            <a:ln>
              <a:noFill/>
            </a:ln>
            <a:effectLst/>
          </c:spPr>
          <c:invertIfNegative val="0"/>
          <c:cat>
            <c:strRef>
              <c:f>欺骗法!$A$2:$A$10</c:f>
              <c:strCache>
                <c:ptCount val="9"/>
                <c:pt idx="0">
                  <c:v>1月</c:v>
                </c:pt>
                <c:pt idx="1">
                  <c:v>2月</c:v>
                </c:pt>
                <c:pt idx="2">
                  <c:v>3月</c:v>
                </c:pt>
                <c:pt idx="3">
                  <c:v>4月</c:v>
                </c:pt>
                <c:pt idx="4">
                  <c:v>5月</c:v>
                </c:pt>
                <c:pt idx="5">
                  <c:v>6月</c:v>
                </c:pt>
                <c:pt idx="6">
                  <c:v>7月</c:v>
                </c:pt>
                <c:pt idx="7">
                  <c:v>8月</c:v>
                </c:pt>
                <c:pt idx="8">
                  <c:v>9月</c:v>
                </c:pt>
              </c:strCache>
            </c:strRef>
          </c:cat>
          <c:val>
            <c:numRef>
              <c:f>欺骗法!$B$2:$B$10</c:f>
              <c:numCache>
                <c:formatCode>General</c:formatCode>
                <c:ptCount val="9"/>
                <c:pt idx="0">
                  <c:v>158</c:v>
                </c:pt>
                <c:pt idx="1">
                  <c:v>75</c:v>
                </c:pt>
                <c:pt idx="2">
                  <c:v>141</c:v>
                </c:pt>
                <c:pt idx="3">
                  <c:v>39</c:v>
                </c:pt>
                <c:pt idx="4">
                  <c:v>33</c:v>
                </c:pt>
                <c:pt idx="5">
                  <c:v>108</c:v>
                </c:pt>
                <c:pt idx="6">
                  <c:v>138</c:v>
                </c:pt>
                <c:pt idx="7">
                  <c:v>56</c:v>
                </c:pt>
                <c:pt idx="8">
                  <c:v>99</c:v>
                </c:pt>
              </c:numCache>
            </c:numRef>
          </c:val>
          <c:extLst>
            <c:ext xmlns:c16="http://schemas.microsoft.com/office/drawing/2014/chart" uri="{C3380CC4-5D6E-409C-BE32-E72D297353CC}">
              <c16:uniqueId val="{00000000-69E4-F442-8FE4-5A814F825584}"/>
            </c:ext>
          </c:extLst>
        </c:ser>
        <c:ser>
          <c:idx val="1"/>
          <c:order val="1"/>
          <c:tx>
            <c:strRef>
              <c:f>欺骗法!$C$1</c:f>
              <c:strCache>
                <c:ptCount val="1"/>
                <c:pt idx="0">
                  <c:v>销售二部</c:v>
                </c:pt>
              </c:strCache>
            </c:strRef>
          </c:tx>
          <c:spPr>
            <a:solidFill>
              <a:schemeClr val="accent2"/>
            </a:solidFill>
            <a:ln>
              <a:noFill/>
            </a:ln>
            <a:effectLst/>
          </c:spPr>
          <c:invertIfNegative val="0"/>
          <c:cat>
            <c:strRef>
              <c:f>欺骗法!$A$2:$A$10</c:f>
              <c:strCache>
                <c:ptCount val="9"/>
                <c:pt idx="0">
                  <c:v>1月</c:v>
                </c:pt>
                <c:pt idx="1">
                  <c:v>2月</c:v>
                </c:pt>
                <c:pt idx="2">
                  <c:v>3月</c:v>
                </c:pt>
                <c:pt idx="3">
                  <c:v>4月</c:v>
                </c:pt>
                <c:pt idx="4">
                  <c:v>5月</c:v>
                </c:pt>
                <c:pt idx="5">
                  <c:v>6月</c:v>
                </c:pt>
                <c:pt idx="6">
                  <c:v>7月</c:v>
                </c:pt>
                <c:pt idx="7">
                  <c:v>8月</c:v>
                </c:pt>
                <c:pt idx="8">
                  <c:v>9月</c:v>
                </c:pt>
              </c:strCache>
            </c:strRef>
          </c:cat>
          <c:val>
            <c:numRef>
              <c:f>欺骗法!$C$2:$C$10</c:f>
              <c:numCache>
                <c:formatCode>General</c:formatCode>
                <c:ptCount val="9"/>
                <c:pt idx="0">
                  <c:v>249</c:v>
                </c:pt>
                <c:pt idx="1">
                  <c:v>404</c:v>
                </c:pt>
                <c:pt idx="2">
                  <c:v>119</c:v>
                </c:pt>
                <c:pt idx="3">
                  <c:v>56</c:v>
                </c:pt>
                <c:pt idx="4">
                  <c:v>30</c:v>
                </c:pt>
                <c:pt idx="5">
                  <c:v>145</c:v>
                </c:pt>
                <c:pt idx="6">
                  <c:v>52</c:v>
                </c:pt>
                <c:pt idx="7">
                  <c:v>155</c:v>
                </c:pt>
                <c:pt idx="8">
                  <c:v>102</c:v>
                </c:pt>
              </c:numCache>
            </c:numRef>
          </c:val>
          <c:extLst>
            <c:ext xmlns:c16="http://schemas.microsoft.com/office/drawing/2014/chart" uri="{C3380CC4-5D6E-409C-BE32-E72D297353CC}">
              <c16:uniqueId val="{00000001-69E4-F442-8FE4-5A814F825584}"/>
            </c:ext>
          </c:extLst>
        </c:ser>
        <c:ser>
          <c:idx val="2"/>
          <c:order val="2"/>
          <c:tx>
            <c:strRef>
              <c:f>欺骗法!$D$1</c:f>
              <c:strCache>
                <c:ptCount val="1"/>
                <c:pt idx="0">
                  <c:v>销售三部</c:v>
                </c:pt>
              </c:strCache>
            </c:strRef>
          </c:tx>
          <c:spPr>
            <a:solidFill>
              <a:schemeClr val="accent3"/>
            </a:solidFill>
            <a:ln>
              <a:noFill/>
            </a:ln>
            <a:effectLst/>
          </c:spPr>
          <c:invertIfNegative val="0"/>
          <c:cat>
            <c:strRef>
              <c:f>欺骗法!$A$2:$A$10</c:f>
              <c:strCache>
                <c:ptCount val="9"/>
                <c:pt idx="0">
                  <c:v>1月</c:v>
                </c:pt>
                <c:pt idx="1">
                  <c:v>2月</c:v>
                </c:pt>
                <c:pt idx="2">
                  <c:v>3月</c:v>
                </c:pt>
                <c:pt idx="3">
                  <c:v>4月</c:v>
                </c:pt>
                <c:pt idx="4">
                  <c:v>5月</c:v>
                </c:pt>
                <c:pt idx="5">
                  <c:v>6月</c:v>
                </c:pt>
                <c:pt idx="6">
                  <c:v>7月</c:v>
                </c:pt>
                <c:pt idx="7">
                  <c:v>8月</c:v>
                </c:pt>
                <c:pt idx="8">
                  <c:v>9月</c:v>
                </c:pt>
              </c:strCache>
            </c:strRef>
          </c:cat>
          <c:val>
            <c:numRef>
              <c:f>欺骗法!$D$2:$D$10</c:f>
              <c:numCache>
                <c:formatCode>General</c:formatCode>
                <c:ptCount val="9"/>
                <c:pt idx="0">
                  <c:v>82</c:v>
                </c:pt>
                <c:pt idx="1">
                  <c:v>270</c:v>
                </c:pt>
                <c:pt idx="2">
                  <c:v>226</c:v>
                </c:pt>
                <c:pt idx="3">
                  <c:v>52</c:v>
                </c:pt>
                <c:pt idx="4">
                  <c:v>56</c:v>
                </c:pt>
                <c:pt idx="5">
                  <c:v>63</c:v>
                </c:pt>
                <c:pt idx="6">
                  <c:v>91</c:v>
                </c:pt>
                <c:pt idx="7">
                  <c:v>185</c:v>
                </c:pt>
                <c:pt idx="8">
                  <c:v>105</c:v>
                </c:pt>
              </c:numCache>
            </c:numRef>
          </c:val>
          <c:extLst>
            <c:ext xmlns:c16="http://schemas.microsoft.com/office/drawing/2014/chart" uri="{C3380CC4-5D6E-409C-BE32-E72D297353CC}">
              <c16:uniqueId val="{00000002-69E4-F442-8FE4-5A814F825584}"/>
            </c:ext>
          </c:extLst>
        </c:ser>
        <c:dLbls>
          <c:showLegendKey val="0"/>
          <c:showVal val="0"/>
          <c:showCatName val="0"/>
          <c:showSerName val="0"/>
          <c:showPercent val="0"/>
          <c:showBubbleSize val="0"/>
        </c:dLbls>
        <c:gapWidth val="60"/>
        <c:overlap val="100"/>
        <c:axId val="1396452735"/>
        <c:axId val="1827918655"/>
      </c:barChart>
      <c:barChart>
        <c:barDir val="col"/>
        <c:grouping val="clustered"/>
        <c:varyColors val="0"/>
        <c:ser>
          <c:idx val="3"/>
          <c:order val="3"/>
          <c:tx>
            <c:strRef>
              <c:f>欺骗法!$E$1</c:f>
              <c:strCache>
                <c:ptCount val="1"/>
                <c:pt idx="0">
                  <c:v>总计</c:v>
                </c:pt>
              </c:strCache>
            </c:strRef>
          </c:tx>
          <c:spPr>
            <a:solidFill>
              <a:schemeClr val="accent4"/>
            </a:solidFill>
            <a:ln>
              <a:noFill/>
            </a:ln>
            <a:effectLst/>
          </c:spPr>
          <c:invertIfNegative val="0"/>
          <c:cat>
            <c:strRef>
              <c:f>欺骗法!$A$2:$A$10</c:f>
              <c:strCache>
                <c:ptCount val="9"/>
                <c:pt idx="0">
                  <c:v>1月</c:v>
                </c:pt>
                <c:pt idx="1">
                  <c:v>2月</c:v>
                </c:pt>
                <c:pt idx="2">
                  <c:v>3月</c:v>
                </c:pt>
                <c:pt idx="3">
                  <c:v>4月</c:v>
                </c:pt>
                <c:pt idx="4">
                  <c:v>5月</c:v>
                </c:pt>
                <c:pt idx="5">
                  <c:v>6月</c:v>
                </c:pt>
                <c:pt idx="6">
                  <c:v>7月</c:v>
                </c:pt>
                <c:pt idx="7">
                  <c:v>8月</c:v>
                </c:pt>
                <c:pt idx="8">
                  <c:v>9月</c:v>
                </c:pt>
              </c:strCache>
            </c:strRef>
          </c:cat>
          <c:val>
            <c:numRef>
              <c:f>欺骗法!$E$2:$E$10</c:f>
              <c:numCache>
                <c:formatCode>General</c:formatCode>
                <c:ptCount val="9"/>
                <c:pt idx="0">
                  <c:v>489</c:v>
                </c:pt>
                <c:pt idx="1">
                  <c:v>749</c:v>
                </c:pt>
                <c:pt idx="2">
                  <c:v>486</c:v>
                </c:pt>
                <c:pt idx="3">
                  <c:v>147</c:v>
                </c:pt>
                <c:pt idx="4">
                  <c:v>119</c:v>
                </c:pt>
                <c:pt idx="5">
                  <c:v>316</c:v>
                </c:pt>
                <c:pt idx="6">
                  <c:v>281</c:v>
                </c:pt>
                <c:pt idx="7">
                  <c:v>396</c:v>
                </c:pt>
                <c:pt idx="8">
                  <c:v>306</c:v>
                </c:pt>
              </c:numCache>
            </c:numRef>
          </c:val>
          <c:extLst>
            <c:ext xmlns:c16="http://schemas.microsoft.com/office/drawing/2014/chart" uri="{C3380CC4-5D6E-409C-BE32-E72D297353CC}">
              <c16:uniqueId val="{00000003-69E4-F442-8FE4-5A814F825584}"/>
            </c:ext>
          </c:extLst>
        </c:ser>
        <c:ser>
          <c:idx val="4"/>
          <c:order val="4"/>
          <c:spPr>
            <a:noFill/>
            <a:ln>
              <a:noFill/>
            </a:ln>
            <a:effectLst/>
          </c:spPr>
          <c:invertIfNegative val="0"/>
          <c:val>
            <c:numLit>
              <c:formatCode>General</c:formatCode>
              <c:ptCount val="1"/>
              <c:pt idx="0">
                <c:v>1</c:v>
              </c:pt>
            </c:numLit>
          </c:val>
          <c:extLst>
            <c:ext xmlns:c16="http://schemas.microsoft.com/office/drawing/2014/chart" uri="{C3380CC4-5D6E-409C-BE32-E72D297353CC}">
              <c16:uniqueId val="{00000009-69E4-F442-8FE4-5A814F825584}"/>
            </c:ext>
          </c:extLst>
        </c:ser>
        <c:dLbls>
          <c:showLegendKey val="0"/>
          <c:showVal val="0"/>
          <c:showCatName val="0"/>
          <c:showSerName val="0"/>
          <c:showPercent val="0"/>
          <c:showBubbleSize val="0"/>
        </c:dLbls>
        <c:gapWidth val="50"/>
        <c:axId val="1662658623"/>
        <c:axId val="1681842047"/>
      </c:barChart>
      <c:catAx>
        <c:axId val="139645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827918655"/>
        <c:crosses val="autoZero"/>
        <c:auto val="1"/>
        <c:lblAlgn val="ctr"/>
        <c:lblOffset val="100"/>
        <c:noMultiLvlLbl val="0"/>
      </c:catAx>
      <c:valAx>
        <c:axId val="1827918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96452735"/>
        <c:crosses val="autoZero"/>
        <c:crossBetween val="between"/>
      </c:valAx>
      <c:valAx>
        <c:axId val="168184204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662658623"/>
        <c:crosses val="max"/>
        <c:crossBetween val="between"/>
      </c:valAx>
      <c:catAx>
        <c:axId val="1662658623"/>
        <c:scaling>
          <c:orientation val="minMax"/>
        </c:scaling>
        <c:delete val="1"/>
        <c:axPos val="b"/>
        <c:numFmt formatCode="General" sourceLinked="1"/>
        <c:majorTickMark val="out"/>
        <c:minorTickMark val="none"/>
        <c:tickLblPos val="nextTo"/>
        <c:crossAx val="168184204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甘特图</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bar"/>
        <c:grouping val="stacked"/>
        <c:varyColors val="0"/>
        <c:ser>
          <c:idx val="0"/>
          <c:order val="0"/>
          <c:tx>
            <c:strRef>
              <c:f>欺骗法!$B$30</c:f>
              <c:strCache>
                <c:ptCount val="1"/>
                <c:pt idx="0">
                  <c:v>计划开始日</c:v>
                </c:pt>
              </c:strCache>
            </c:strRef>
          </c:tx>
          <c:spPr>
            <a:noFill/>
            <a:ln>
              <a:noFill/>
            </a:ln>
            <a:effectLst/>
          </c:spPr>
          <c:invertIfNegative val="0"/>
          <c:cat>
            <c:strRef>
              <c:f>欺骗法!$A$31:$A$38</c:f>
              <c:strCache>
                <c:ptCount val="8"/>
                <c:pt idx="0">
                  <c:v>项目确定</c:v>
                </c:pt>
                <c:pt idx="1">
                  <c:v>问卷设计</c:v>
                </c:pt>
                <c:pt idx="2">
                  <c:v>试访</c:v>
                </c:pt>
                <c:pt idx="3">
                  <c:v>问卷确定</c:v>
                </c:pt>
                <c:pt idx="4">
                  <c:v>实地执行</c:v>
                </c:pt>
                <c:pt idx="5">
                  <c:v>数据录入</c:v>
                </c:pt>
                <c:pt idx="6">
                  <c:v>数据分析</c:v>
                </c:pt>
                <c:pt idx="7">
                  <c:v>报告提交</c:v>
                </c:pt>
              </c:strCache>
            </c:strRef>
          </c:cat>
          <c:val>
            <c:numRef>
              <c:f>欺骗法!$B$31:$B$38</c:f>
              <c:numCache>
                <c:formatCode>m/d/yy</c:formatCode>
                <c:ptCount val="8"/>
                <c:pt idx="0">
                  <c:v>41760</c:v>
                </c:pt>
                <c:pt idx="1">
                  <c:v>41763</c:v>
                </c:pt>
                <c:pt idx="2">
                  <c:v>41765</c:v>
                </c:pt>
                <c:pt idx="3">
                  <c:v>41767</c:v>
                </c:pt>
                <c:pt idx="4">
                  <c:v>41768</c:v>
                </c:pt>
                <c:pt idx="5">
                  <c:v>41778</c:v>
                </c:pt>
                <c:pt idx="6">
                  <c:v>41782</c:v>
                </c:pt>
                <c:pt idx="7">
                  <c:v>41785</c:v>
                </c:pt>
              </c:numCache>
            </c:numRef>
          </c:val>
          <c:extLst>
            <c:ext xmlns:c16="http://schemas.microsoft.com/office/drawing/2014/chart" uri="{C3380CC4-5D6E-409C-BE32-E72D297353CC}">
              <c16:uniqueId val="{00000000-5F36-2C49-9C7B-A8D6565EA442}"/>
            </c:ext>
          </c:extLst>
        </c:ser>
        <c:ser>
          <c:idx val="1"/>
          <c:order val="1"/>
          <c:tx>
            <c:strRef>
              <c:f>欺骗法!$C$30</c:f>
              <c:strCache>
                <c:ptCount val="1"/>
                <c:pt idx="0">
                  <c:v>天数</c:v>
                </c:pt>
              </c:strCache>
            </c:strRef>
          </c:tx>
          <c:spPr>
            <a:solidFill>
              <a:schemeClr val="accent2"/>
            </a:solidFill>
            <a:ln>
              <a:noFill/>
            </a:ln>
            <a:effectLst>
              <a:outerShdw blurRad="50800" dist="38100" dir="5400000" algn="t" rotWithShape="0">
                <a:prstClr val="black">
                  <a:alpha val="40000"/>
                </a:prstClr>
              </a:outerShdw>
            </a:effectLst>
          </c:spPr>
          <c:invertIfNegative val="0"/>
          <c:cat>
            <c:strRef>
              <c:f>欺骗法!$A$31:$A$38</c:f>
              <c:strCache>
                <c:ptCount val="8"/>
                <c:pt idx="0">
                  <c:v>项目确定</c:v>
                </c:pt>
                <c:pt idx="1">
                  <c:v>问卷设计</c:v>
                </c:pt>
                <c:pt idx="2">
                  <c:v>试访</c:v>
                </c:pt>
                <c:pt idx="3">
                  <c:v>问卷确定</c:v>
                </c:pt>
                <c:pt idx="4">
                  <c:v>实地执行</c:v>
                </c:pt>
                <c:pt idx="5">
                  <c:v>数据录入</c:v>
                </c:pt>
                <c:pt idx="6">
                  <c:v>数据分析</c:v>
                </c:pt>
                <c:pt idx="7">
                  <c:v>报告提交</c:v>
                </c:pt>
              </c:strCache>
            </c:strRef>
          </c:cat>
          <c:val>
            <c:numRef>
              <c:f>欺骗法!$C$31:$C$38</c:f>
              <c:numCache>
                <c:formatCode>General</c:formatCode>
                <c:ptCount val="8"/>
                <c:pt idx="0">
                  <c:v>5</c:v>
                </c:pt>
                <c:pt idx="1">
                  <c:v>3</c:v>
                </c:pt>
                <c:pt idx="2">
                  <c:v>3</c:v>
                </c:pt>
                <c:pt idx="3">
                  <c:v>1</c:v>
                </c:pt>
                <c:pt idx="4">
                  <c:v>10</c:v>
                </c:pt>
                <c:pt idx="5">
                  <c:v>5</c:v>
                </c:pt>
                <c:pt idx="6">
                  <c:v>3</c:v>
                </c:pt>
                <c:pt idx="7">
                  <c:v>5</c:v>
                </c:pt>
              </c:numCache>
            </c:numRef>
          </c:val>
          <c:extLst>
            <c:ext xmlns:c16="http://schemas.microsoft.com/office/drawing/2014/chart" uri="{C3380CC4-5D6E-409C-BE32-E72D297353CC}">
              <c16:uniqueId val="{00000001-5F36-2C49-9C7B-A8D6565EA442}"/>
            </c:ext>
          </c:extLst>
        </c:ser>
        <c:dLbls>
          <c:showLegendKey val="0"/>
          <c:showVal val="0"/>
          <c:showCatName val="0"/>
          <c:showSerName val="0"/>
          <c:showPercent val="0"/>
          <c:showBubbleSize val="0"/>
        </c:dLbls>
        <c:gapWidth val="20"/>
        <c:overlap val="100"/>
        <c:axId val="75209280"/>
        <c:axId val="75208384"/>
      </c:barChart>
      <c:catAx>
        <c:axId val="752092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5208384"/>
        <c:crosses val="autoZero"/>
        <c:auto val="1"/>
        <c:lblAlgn val="ctr"/>
        <c:lblOffset val="100"/>
        <c:noMultiLvlLbl val="0"/>
      </c:catAx>
      <c:valAx>
        <c:axId val="75208384"/>
        <c:scaling>
          <c:orientation val="minMax"/>
          <c:max val="41790"/>
          <c:min val="41760"/>
        </c:scaling>
        <c:delete val="0"/>
        <c:axPos val="t"/>
        <c:majorGridlines>
          <c:spPr>
            <a:ln w="9525" cap="flat" cmpd="sng" algn="ctr">
              <a:solidFill>
                <a:schemeClr val="tx1">
                  <a:lumMod val="15000"/>
                  <a:lumOff val="85000"/>
                </a:schemeClr>
              </a:solidFill>
              <a:prstDash val="dash"/>
              <a:round/>
            </a:ln>
            <a:effectLst/>
          </c:spPr>
        </c:majorGridlines>
        <c:numFmt formatCode="m/d/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5209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欺骗法!$B$47</c:f>
              <c:strCache>
                <c:ptCount val="1"/>
                <c:pt idx="0">
                  <c:v>销售额</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欺骗法!$A$48:$A$59</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欺骗法!$B$48:$B$59</c:f>
              <c:numCache>
                <c:formatCode>General</c:formatCode>
                <c:ptCount val="12"/>
                <c:pt idx="0">
                  <c:v>382</c:v>
                </c:pt>
                <c:pt idx="1">
                  <c:v>222</c:v>
                </c:pt>
                <c:pt idx="2">
                  <c:v>507</c:v>
                </c:pt>
                <c:pt idx="3">
                  <c:v>582</c:v>
                </c:pt>
                <c:pt idx="4">
                  <c:v>401</c:v>
                </c:pt>
                <c:pt idx="5">
                  <c:v>334</c:v>
                </c:pt>
                <c:pt idx="6">
                  <c:v>510</c:v>
                </c:pt>
                <c:pt idx="7">
                  <c:v>220</c:v>
                </c:pt>
                <c:pt idx="8">
                  <c:v>373</c:v>
                </c:pt>
                <c:pt idx="9">
                  <c:v>439</c:v>
                </c:pt>
                <c:pt idx="10">
                  <c:v>428</c:v>
                </c:pt>
                <c:pt idx="11">
                  <c:v>692</c:v>
                </c:pt>
              </c:numCache>
            </c:numRef>
          </c:val>
          <c:smooth val="0"/>
          <c:extLst>
            <c:ext xmlns:c16="http://schemas.microsoft.com/office/drawing/2014/chart" uri="{C3380CC4-5D6E-409C-BE32-E72D297353CC}">
              <c16:uniqueId val="{00000000-1BAB-9945-8644-B8477F3465FB}"/>
            </c:ext>
          </c:extLst>
        </c:ser>
        <c:ser>
          <c:idx val="1"/>
          <c:order val="1"/>
          <c:tx>
            <c:strRef>
              <c:f>欺骗法!$C$47</c:f>
              <c:strCache>
                <c:ptCount val="1"/>
                <c:pt idx="0">
                  <c:v>最大值</c:v>
                </c:pt>
              </c:strCache>
            </c:strRef>
          </c:tx>
          <c:spPr>
            <a:ln w="19050" cap="rnd">
              <a:solidFill>
                <a:schemeClr val="tx1">
                  <a:lumMod val="50000"/>
                  <a:lumOff val="50000"/>
                </a:schemeClr>
              </a:solidFill>
              <a:round/>
            </a:ln>
            <a:effectLst/>
          </c:spPr>
          <c:marker>
            <c:symbol val="none"/>
          </c:marker>
          <c:cat>
            <c:strRef>
              <c:f>欺骗法!$A$48:$A$59</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欺骗法!$C$48:$C$59</c:f>
              <c:numCache>
                <c:formatCode>General</c:formatCode>
                <c:ptCount val="12"/>
                <c:pt idx="0">
                  <c:v>692</c:v>
                </c:pt>
                <c:pt idx="1">
                  <c:v>692</c:v>
                </c:pt>
                <c:pt idx="2">
                  <c:v>692</c:v>
                </c:pt>
                <c:pt idx="3">
                  <c:v>692</c:v>
                </c:pt>
                <c:pt idx="4">
                  <c:v>692</c:v>
                </c:pt>
                <c:pt idx="5">
                  <c:v>692</c:v>
                </c:pt>
                <c:pt idx="6">
                  <c:v>692</c:v>
                </c:pt>
                <c:pt idx="7">
                  <c:v>692</c:v>
                </c:pt>
                <c:pt idx="8">
                  <c:v>692</c:v>
                </c:pt>
                <c:pt idx="9">
                  <c:v>692</c:v>
                </c:pt>
                <c:pt idx="10">
                  <c:v>692</c:v>
                </c:pt>
                <c:pt idx="11">
                  <c:v>692</c:v>
                </c:pt>
              </c:numCache>
            </c:numRef>
          </c:val>
          <c:smooth val="0"/>
          <c:extLst>
            <c:ext xmlns:c16="http://schemas.microsoft.com/office/drawing/2014/chart" uri="{C3380CC4-5D6E-409C-BE32-E72D297353CC}">
              <c16:uniqueId val="{00000001-1BAB-9945-8644-B8477F3465FB}"/>
            </c:ext>
          </c:extLst>
        </c:ser>
        <c:ser>
          <c:idx val="2"/>
          <c:order val="2"/>
          <c:tx>
            <c:strRef>
              <c:f>欺骗法!$D$47</c:f>
              <c:strCache>
                <c:ptCount val="1"/>
                <c:pt idx="0">
                  <c:v>最小值</c:v>
                </c:pt>
              </c:strCache>
            </c:strRef>
          </c:tx>
          <c:spPr>
            <a:ln w="19050" cap="rnd">
              <a:solidFill>
                <a:schemeClr val="tx1">
                  <a:lumMod val="50000"/>
                  <a:lumOff val="50000"/>
                </a:schemeClr>
              </a:solidFill>
              <a:round/>
            </a:ln>
            <a:effectLst/>
          </c:spPr>
          <c:marker>
            <c:symbol val="none"/>
          </c:marker>
          <c:cat>
            <c:strRef>
              <c:f>欺骗法!$A$48:$A$59</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欺骗法!$D$48:$D$59</c:f>
              <c:numCache>
                <c:formatCode>General</c:formatCode>
                <c:ptCount val="12"/>
                <c:pt idx="0">
                  <c:v>220</c:v>
                </c:pt>
                <c:pt idx="1">
                  <c:v>220</c:v>
                </c:pt>
                <c:pt idx="2">
                  <c:v>220</c:v>
                </c:pt>
                <c:pt idx="3">
                  <c:v>220</c:v>
                </c:pt>
                <c:pt idx="4">
                  <c:v>220</c:v>
                </c:pt>
                <c:pt idx="5">
                  <c:v>220</c:v>
                </c:pt>
                <c:pt idx="6">
                  <c:v>220</c:v>
                </c:pt>
                <c:pt idx="7">
                  <c:v>220</c:v>
                </c:pt>
                <c:pt idx="8">
                  <c:v>220</c:v>
                </c:pt>
                <c:pt idx="9">
                  <c:v>220</c:v>
                </c:pt>
                <c:pt idx="10">
                  <c:v>220</c:v>
                </c:pt>
                <c:pt idx="11">
                  <c:v>220</c:v>
                </c:pt>
              </c:numCache>
            </c:numRef>
          </c:val>
          <c:smooth val="0"/>
          <c:extLst>
            <c:ext xmlns:c16="http://schemas.microsoft.com/office/drawing/2014/chart" uri="{C3380CC4-5D6E-409C-BE32-E72D297353CC}">
              <c16:uniqueId val="{00000002-1BAB-9945-8644-B8477F3465FB}"/>
            </c:ext>
          </c:extLst>
        </c:ser>
        <c:ser>
          <c:idx val="3"/>
          <c:order val="3"/>
          <c:tx>
            <c:strRef>
              <c:f>欺骗法!$E$47</c:f>
              <c:strCache>
                <c:ptCount val="1"/>
                <c:pt idx="0">
                  <c:v>斜线</c:v>
                </c:pt>
              </c:strCache>
            </c:strRef>
          </c:tx>
          <c:spPr>
            <a:ln w="28575" cap="rnd">
              <a:solidFill>
                <a:srgbClr val="C00000"/>
              </a:solidFill>
              <a:round/>
            </a:ln>
            <a:effectLst/>
          </c:spPr>
          <c:marker>
            <c:symbol val="none"/>
          </c:marker>
          <c:cat>
            <c:strRef>
              <c:f>欺骗法!$A$48:$A$59</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欺骗法!$E$48:$E$59</c:f>
              <c:numCache>
                <c:formatCode>General</c:formatCode>
                <c:ptCount val="12"/>
                <c:pt idx="0">
                  <c:v>200</c:v>
                </c:pt>
                <c:pt idx="1">
                  <c:v>#N/A</c:v>
                </c:pt>
                <c:pt idx="2">
                  <c:v>#N/A</c:v>
                </c:pt>
                <c:pt idx="3">
                  <c:v>#N/A</c:v>
                </c:pt>
                <c:pt idx="4">
                  <c:v>#N/A</c:v>
                </c:pt>
                <c:pt idx="5">
                  <c:v>#N/A</c:v>
                </c:pt>
                <c:pt idx="6">
                  <c:v>#N/A</c:v>
                </c:pt>
                <c:pt idx="7">
                  <c:v>#N/A</c:v>
                </c:pt>
                <c:pt idx="8">
                  <c:v>#N/A</c:v>
                </c:pt>
                <c:pt idx="9">
                  <c:v>#N/A</c:v>
                </c:pt>
                <c:pt idx="10">
                  <c:v>#N/A</c:v>
                </c:pt>
                <c:pt idx="11">
                  <c:v>650</c:v>
                </c:pt>
              </c:numCache>
            </c:numRef>
          </c:val>
          <c:smooth val="0"/>
          <c:extLst>
            <c:ext xmlns:c16="http://schemas.microsoft.com/office/drawing/2014/chart" uri="{C3380CC4-5D6E-409C-BE32-E72D297353CC}">
              <c16:uniqueId val="{00000003-1BAB-9945-8644-B8477F3465FB}"/>
            </c:ext>
          </c:extLst>
        </c:ser>
        <c:dLbls>
          <c:showLegendKey val="0"/>
          <c:showVal val="0"/>
          <c:showCatName val="0"/>
          <c:showSerName val="0"/>
          <c:showPercent val="0"/>
          <c:showBubbleSize val="0"/>
        </c:dLbls>
        <c:smooth val="0"/>
        <c:axId val="1928881343"/>
        <c:axId val="1910715519"/>
      </c:lineChart>
      <c:catAx>
        <c:axId val="192888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910715519"/>
        <c:crosses val="autoZero"/>
        <c:auto val="1"/>
        <c:lblAlgn val="ctr"/>
        <c:lblOffset val="100"/>
        <c:noMultiLvlLbl val="0"/>
      </c:catAx>
      <c:valAx>
        <c:axId val="1910715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928881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欺骗法!$B$68</c:f>
              <c:strCache>
                <c:ptCount val="1"/>
                <c:pt idx="0">
                  <c:v>销售额</c:v>
                </c:pt>
              </c:strCache>
            </c:strRef>
          </c:tx>
          <c:spPr>
            <a:ln w="28575" cap="rnd">
              <a:solidFill>
                <a:schemeClr val="accent1"/>
              </a:solidFill>
              <a:round/>
            </a:ln>
            <a:effectLst/>
          </c:spPr>
          <c:marker>
            <c:symbol val="none"/>
          </c:marker>
          <c:dLbls>
            <c:delete val="1"/>
          </c:dLbls>
          <c:cat>
            <c:strRef>
              <c:f>欺骗法!$A$69:$A$77</c:f>
              <c:strCache>
                <c:ptCount val="9"/>
                <c:pt idx="0">
                  <c:v>一月</c:v>
                </c:pt>
                <c:pt idx="1">
                  <c:v>二月</c:v>
                </c:pt>
                <c:pt idx="2">
                  <c:v>三月</c:v>
                </c:pt>
                <c:pt idx="3">
                  <c:v>四月</c:v>
                </c:pt>
                <c:pt idx="4">
                  <c:v>五月</c:v>
                </c:pt>
                <c:pt idx="5">
                  <c:v>六月</c:v>
                </c:pt>
                <c:pt idx="6">
                  <c:v>七月</c:v>
                </c:pt>
                <c:pt idx="7">
                  <c:v>八月</c:v>
                </c:pt>
                <c:pt idx="8">
                  <c:v>九月</c:v>
                </c:pt>
              </c:strCache>
            </c:strRef>
          </c:cat>
          <c:val>
            <c:numRef>
              <c:f>欺骗法!$B$69:$B$77</c:f>
              <c:numCache>
                <c:formatCode>General</c:formatCode>
                <c:ptCount val="9"/>
                <c:pt idx="0">
                  <c:v>26</c:v>
                </c:pt>
                <c:pt idx="1">
                  <c:v>23</c:v>
                </c:pt>
                <c:pt idx="2">
                  <c:v>55</c:v>
                </c:pt>
                <c:pt idx="3">
                  <c:v>37</c:v>
                </c:pt>
                <c:pt idx="4">
                  <c:v>39</c:v>
                </c:pt>
                <c:pt idx="5">
                  <c:v>28</c:v>
                </c:pt>
                <c:pt idx="6">
                  <c:v>22</c:v>
                </c:pt>
                <c:pt idx="7">
                  <c:v>35</c:v>
                </c:pt>
                <c:pt idx="8">
                  <c:v>38</c:v>
                </c:pt>
              </c:numCache>
            </c:numRef>
          </c:val>
          <c:smooth val="1"/>
          <c:extLst>
            <c:ext xmlns:c16="http://schemas.microsoft.com/office/drawing/2014/chart" uri="{C3380CC4-5D6E-409C-BE32-E72D297353CC}">
              <c16:uniqueId val="{00000000-72DC-824D-B616-D8EF78B1A138}"/>
            </c:ext>
          </c:extLst>
        </c:ser>
        <c:ser>
          <c:idx val="1"/>
          <c:order val="1"/>
          <c:tx>
            <c:strRef>
              <c:f>欺骗法!$C$68</c:f>
              <c:strCache>
                <c:ptCount val="1"/>
                <c:pt idx="0">
                  <c:v>最大值</c:v>
                </c:pt>
              </c:strCache>
            </c:strRef>
          </c:tx>
          <c:spPr>
            <a:ln w="31750" cap="rnd">
              <a:solidFill>
                <a:schemeClr val="accent2"/>
              </a:solidFill>
              <a:round/>
            </a:ln>
            <a:effectLst/>
          </c:spPr>
          <c:marker>
            <c:symbol val="circle"/>
            <c:size val="8"/>
            <c:spPr>
              <a:noFill/>
              <a:ln w="31750">
                <a:solidFill>
                  <a:srgbClr val="C00000"/>
                </a:solidFill>
              </a:ln>
              <a:effectLst/>
            </c:spPr>
          </c:marker>
          <c:dLbls>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zh-CN"/>
              </a:p>
            </c:txPr>
            <c:dLblPos val="t"/>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欺骗法!$A$69:$A$77</c:f>
              <c:strCache>
                <c:ptCount val="9"/>
                <c:pt idx="0">
                  <c:v>一月</c:v>
                </c:pt>
                <c:pt idx="1">
                  <c:v>二月</c:v>
                </c:pt>
                <c:pt idx="2">
                  <c:v>三月</c:v>
                </c:pt>
                <c:pt idx="3">
                  <c:v>四月</c:v>
                </c:pt>
                <c:pt idx="4">
                  <c:v>五月</c:v>
                </c:pt>
                <c:pt idx="5">
                  <c:v>六月</c:v>
                </c:pt>
                <c:pt idx="6">
                  <c:v>七月</c:v>
                </c:pt>
                <c:pt idx="7">
                  <c:v>八月</c:v>
                </c:pt>
                <c:pt idx="8">
                  <c:v>九月</c:v>
                </c:pt>
              </c:strCache>
            </c:strRef>
          </c:cat>
          <c:val>
            <c:numRef>
              <c:f>欺骗法!$C$69:$C$77</c:f>
              <c:numCache>
                <c:formatCode>General</c:formatCode>
                <c:ptCount val="9"/>
                <c:pt idx="0">
                  <c:v>#N/A</c:v>
                </c:pt>
                <c:pt idx="1">
                  <c:v>#N/A</c:v>
                </c:pt>
                <c:pt idx="2">
                  <c:v>55</c:v>
                </c:pt>
                <c:pt idx="3">
                  <c:v>#N/A</c:v>
                </c:pt>
                <c:pt idx="4">
                  <c:v>#N/A</c:v>
                </c:pt>
                <c:pt idx="5">
                  <c:v>#N/A</c:v>
                </c:pt>
                <c:pt idx="6">
                  <c:v>#N/A</c:v>
                </c:pt>
                <c:pt idx="7">
                  <c:v>#N/A</c:v>
                </c:pt>
                <c:pt idx="8">
                  <c:v>#N/A</c:v>
                </c:pt>
              </c:numCache>
            </c:numRef>
          </c:val>
          <c:smooth val="0"/>
          <c:extLst>
            <c:ext xmlns:c16="http://schemas.microsoft.com/office/drawing/2014/chart" uri="{C3380CC4-5D6E-409C-BE32-E72D297353CC}">
              <c16:uniqueId val="{00000001-72DC-824D-B616-D8EF78B1A138}"/>
            </c:ext>
          </c:extLst>
        </c:ser>
        <c:ser>
          <c:idx val="2"/>
          <c:order val="2"/>
          <c:tx>
            <c:strRef>
              <c:f>欺骗法!$D$68</c:f>
              <c:strCache>
                <c:ptCount val="1"/>
                <c:pt idx="0">
                  <c:v>最小值</c:v>
                </c:pt>
              </c:strCache>
            </c:strRef>
          </c:tx>
          <c:spPr>
            <a:ln w="31750" cap="rnd">
              <a:solidFill>
                <a:schemeClr val="accent3"/>
              </a:solidFill>
              <a:round/>
            </a:ln>
            <a:effectLst/>
          </c:spPr>
          <c:marker>
            <c:symbol val="circle"/>
            <c:size val="8"/>
            <c:spPr>
              <a:noFill/>
              <a:ln w="31750">
                <a:solidFill>
                  <a:srgbClr val="FFC000"/>
                </a:solidFill>
              </a:ln>
              <a:effectLst/>
            </c:spPr>
          </c:marker>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zh-CN"/>
              </a:p>
            </c:txPr>
            <c:dLblPos val="b"/>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欺骗法!$A$69:$A$77</c:f>
              <c:strCache>
                <c:ptCount val="9"/>
                <c:pt idx="0">
                  <c:v>一月</c:v>
                </c:pt>
                <c:pt idx="1">
                  <c:v>二月</c:v>
                </c:pt>
                <c:pt idx="2">
                  <c:v>三月</c:v>
                </c:pt>
                <c:pt idx="3">
                  <c:v>四月</c:v>
                </c:pt>
                <c:pt idx="4">
                  <c:v>五月</c:v>
                </c:pt>
                <c:pt idx="5">
                  <c:v>六月</c:v>
                </c:pt>
                <c:pt idx="6">
                  <c:v>七月</c:v>
                </c:pt>
                <c:pt idx="7">
                  <c:v>八月</c:v>
                </c:pt>
                <c:pt idx="8">
                  <c:v>九月</c:v>
                </c:pt>
              </c:strCache>
            </c:strRef>
          </c:cat>
          <c:val>
            <c:numRef>
              <c:f>欺骗法!$D$69:$D$77</c:f>
              <c:numCache>
                <c:formatCode>General</c:formatCode>
                <c:ptCount val="9"/>
                <c:pt idx="0">
                  <c:v>#N/A</c:v>
                </c:pt>
                <c:pt idx="1">
                  <c:v>#N/A</c:v>
                </c:pt>
                <c:pt idx="2">
                  <c:v>#N/A</c:v>
                </c:pt>
                <c:pt idx="3">
                  <c:v>#N/A</c:v>
                </c:pt>
                <c:pt idx="4">
                  <c:v>#N/A</c:v>
                </c:pt>
                <c:pt idx="5">
                  <c:v>#N/A</c:v>
                </c:pt>
                <c:pt idx="6">
                  <c:v>22</c:v>
                </c:pt>
                <c:pt idx="7">
                  <c:v>#N/A</c:v>
                </c:pt>
                <c:pt idx="8">
                  <c:v>#N/A</c:v>
                </c:pt>
              </c:numCache>
            </c:numRef>
          </c:val>
          <c:smooth val="0"/>
          <c:extLst>
            <c:ext xmlns:c16="http://schemas.microsoft.com/office/drawing/2014/chart" uri="{C3380CC4-5D6E-409C-BE32-E72D297353CC}">
              <c16:uniqueId val="{00000002-72DC-824D-B616-D8EF78B1A138}"/>
            </c:ext>
          </c:extLst>
        </c:ser>
        <c:dLbls>
          <c:dLblPos val="t"/>
          <c:showLegendKey val="0"/>
          <c:showVal val="1"/>
          <c:showCatName val="0"/>
          <c:showSerName val="0"/>
          <c:showPercent val="0"/>
          <c:showBubbleSize val="0"/>
        </c:dLbls>
        <c:smooth val="0"/>
        <c:axId val="1484985600"/>
        <c:axId val="1484983808"/>
      </c:lineChart>
      <c:catAx>
        <c:axId val="148498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484983808"/>
        <c:crosses val="autoZero"/>
        <c:auto val="1"/>
        <c:lblAlgn val="ctr"/>
        <c:lblOffset val="100"/>
        <c:noMultiLvlLbl val="0"/>
      </c:catAx>
      <c:valAx>
        <c:axId val="1484983808"/>
        <c:scaling>
          <c:orientation val="minMax"/>
          <c:max val="6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484985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39733061664465"/>
          <c:y val="0.24398346456692913"/>
          <c:w val="0.8620929482214893"/>
          <c:h val="0.6000719160104987"/>
        </c:manualLayout>
      </c:layout>
      <c:lineChart>
        <c:grouping val="standard"/>
        <c:varyColors val="0"/>
        <c:ser>
          <c:idx val="0"/>
          <c:order val="0"/>
          <c:tx>
            <c:strRef>
              <c:f>控制法!$I$1</c:f>
              <c:strCache>
                <c:ptCount val="1"/>
                <c:pt idx="0">
                  <c:v>宠物用品</c:v>
                </c:pt>
              </c:strCache>
            </c:strRef>
          </c:tx>
          <c:spPr>
            <a:ln w="28575" cap="rnd">
              <a:solidFill>
                <a:schemeClr val="accent1"/>
              </a:solidFill>
              <a:round/>
            </a:ln>
            <a:effectLst/>
          </c:spPr>
          <c:marker>
            <c:symbol val="none"/>
          </c:marker>
          <c:cat>
            <c:strRef>
              <c:f>控制法!$H$2:$H$13</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控制法!$I$2:$I$13</c:f>
              <c:numCache>
                <c:formatCode>General</c:formatCode>
                <c:ptCount val="12"/>
                <c:pt idx="0">
                  <c:v>364203.55034234998</c:v>
                </c:pt>
                <c:pt idx="1">
                  <c:v>181175.6692077</c:v>
                </c:pt>
                <c:pt idx="2">
                  <c:v>867964.09338029998</c:v>
                </c:pt>
                <c:pt idx="3">
                  <c:v>1153034.6644532999</c:v>
                </c:pt>
                <c:pt idx="4">
                  <c:v>381435.69970230001</c:v>
                </c:pt>
                <c:pt idx="5">
                  <c:v>309793.18063531799</c:v>
                </c:pt>
                <c:pt idx="6">
                  <c:v>580041.42196275003</c:v>
                </c:pt>
                <c:pt idx="7">
                  <c:v>150589.96349085</c:v>
                </c:pt>
                <c:pt idx="8">
                  <c:v>408638.32068263099</c:v>
                </c:pt>
                <c:pt idx="9">
                  <c:v>305883.12260910001</c:v>
                </c:pt>
                <c:pt idx="10">
                  <c:v>194589.08705880001</c:v>
                </c:pt>
                <c:pt idx="11">
                  <c:v>111893.048736</c:v>
                </c:pt>
              </c:numCache>
            </c:numRef>
          </c:val>
          <c:smooth val="1"/>
          <c:extLst>
            <c:ext xmlns:c16="http://schemas.microsoft.com/office/drawing/2014/chart" uri="{C3380CC4-5D6E-409C-BE32-E72D297353CC}">
              <c16:uniqueId val="{00000000-D501-0E4C-8638-D32A0E7EEA70}"/>
            </c:ext>
          </c:extLst>
        </c:ser>
        <c:ser>
          <c:idx val="1"/>
          <c:order val="1"/>
          <c:tx>
            <c:strRef>
              <c:f>控制法!$J$1</c:f>
              <c:strCache>
                <c:ptCount val="1"/>
                <c:pt idx="0">
                  <c:v>最大值</c:v>
                </c:pt>
              </c:strCache>
            </c:strRef>
          </c:tx>
          <c:spPr>
            <a:ln w="28575" cap="rnd">
              <a:solidFill>
                <a:schemeClr val="accent2"/>
              </a:solidFill>
              <a:round/>
            </a:ln>
            <a:effectLst/>
          </c:spPr>
          <c:marker>
            <c:symbol val="circle"/>
            <c:size val="8"/>
            <c:spPr>
              <a:noFill/>
              <a:ln w="31750">
                <a:solidFill>
                  <a:schemeClr val="accent2"/>
                </a:solidFill>
              </a:ln>
              <a:effectLst/>
            </c:spPr>
          </c:marker>
          <c:dLbls>
            <c:spPr>
              <a:solidFill>
                <a:schemeClr val="accent6">
                  <a:alpha val="9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8288" rIns="38100" bIns="18288" anchor="ctr" anchorCtr="1">
                <a:spAutoFit/>
              </a:bodyPr>
              <a:lstStyle/>
              <a:p>
                <a:pPr>
                  <a:defRPr sz="1000" b="1" i="0" u="none" strike="noStrike" kern="1200" baseline="0">
                    <a:solidFill>
                      <a:schemeClr val="bg1"/>
                    </a:solidFill>
                    <a:latin typeface="+mn-lt"/>
                    <a:ea typeface="+mn-ea"/>
                    <a:cs typeface="+mn-cs"/>
                  </a:defRPr>
                </a:pPr>
                <a:endParaRPr lang="zh-CN"/>
              </a:p>
            </c:txPr>
            <c:dLblPos val="t"/>
            <c:showLegendKey val="0"/>
            <c:showVal val="1"/>
            <c:showCatName val="0"/>
            <c:showSerName val="1"/>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控制法!$H$2:$H$13</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控制法!$J$2:$J$13</c:f>
              <c:numCache>
                <c:formatCode>General</c:formatCode>
                <c:ptCount val="12"/>
                <c:pt idx="0">
                  <c:v>#N/A</c:v>
                </c:pt>
                <c:pt idx="1">
                  <c:v>#N/A</c:v>
                </c:pt>
                <c:pt idx="2">
                  <c:v>#N/A</c:v>
                </c:pt>
                <c:pt idx="3">
                  <c:v>1153034.6599999999</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1-D501-0E4C-8638-D32A0E7EEA70}"/>
            </c:ext>
          </c:extLst>
        </c:ser>
        <c:dLbls>
          <c:showLegendKey val="0"/>
          <c:showVal val="0"/>
          <c:showCatName val="0"/>
          <c:showSerName val="0"/>
          <c:showPercent val="0"/>
          <c:showBubbleSize val="0"/>
        </c:dLbls>
        <c:smooth val="0"/>
        <c:axId val="1804971839"/>
        <c:axId val="1702189183"/>
      </c:lineChart>
      <c:catAx>
        <c:axId val="180497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702189183"/>
        <c:crosses val="autoZero"/>
        <c:auto val="1"/>
        <c:lblAlgn val="ctr"/>
        <c:lblOffset val="100"/>
        <c:noMultiLvlLbl val="0"/>
      </c:catAx>
      <c:valAx>
        <c:axId val="1702189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8049718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72162651734267"/>
          <c:y val="3.6912751677852351E-2"/>
          <c:w val="0.66195205004936597"/>
          <c:h val="0.88285816202504885"/>
        </c:manualLayout>
      </c:layout>
      <c:lineChart>
        <c:grouping val="standard"/>
        <c:varyColors val="0"/>
        <c:ser>
          <c:idx val="0"/>
          <c:order val="0"/>
          <c:tx>
            <c:strRef>
              <c:f>控制法!$B$27</c:f>
              <c:strCache>
                <c:ptCount val="1"/>
                <c:pt idx="0">
                  <c:v>彩盒</c:v>
                </c:pt>
              </c:strCache>
            </c:strRef>
          </c:tx>
          <c:spPr>
            <a:ln w="28575" cap="rnd">
              <a:solidFill>
                <a:schemeClr val="accent1"/>
              </a:solidFill>
              <a:round/>
            </a:ln>
            <a:effectLst/>
          </c:spPr>
          <c:marker>
            <c:symbol val="none"/>
          </c:marker>
          <c:cat>
            <c:strRef>
              <c:f>控制法!$A$28:$A$39</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控制法!$B$28:$B$39</c:f>
              <c:numCache>
                <c:formatCode>General</c:formatCode>
                <c:ptCount val="12"/>
                <c:pt idx="0">
                  <c:v>382003.87466317398</c:v>
                </c:pt>
                <c:pt idx="1">
                  <c:v>222520.24863675001</c:v>
                </c:pt>
                <c:pt idx="2">
                  <c:v>507398.66051713802</c:v>
                </c:pt>
                <c:pt idx="3">
                  <c:v>582530.53595565597</c:v>
                </c:pt>
                <c:pt idx="4">
                  <c:v>401726.38020000001</c:v>
                </c:pt>
                <c:pt idx="5">
                  <c:v>334359.9053865</c:v>
                </c:pt>
                <c:pt idx="6">
                  <c:v>510118.95270869997</c:v>
                </c:pt>
                <c:pt idx="7">
                  <c:v>220130.085822833</c:v>
                </c:pt>
                <c:pt idx="8">
                  <c:v>373503.19573377603</c:v>
                </c:pt>
                <c:pt idx="9">
                  <c:v>439424.08198979998</c:v>
                </c:pt>
                <c:pt idx="10">
                  <c:v>428661.55981269199</c:v>
                </c:pt>
                <c:pt idx="11">
                  <c:v>692964.70983135398</c:v>
                </c:pt>
              </c:numCache>
            </c:numRef>
          </c:val>
          <c:smooth val="1"/>
          <c:extLst>
            <c:ext xmlns:c16="http://schemas.microsoft.com/office/drawing/2014/chart" uri="{C3380CC4-5D6E-409C-BE32-E72D297353CC}">
              <c16:uniqueId val="{00000000-FC88-5D47-BC84-79CB2A4EC1AA}"/>
            </c:ext>
          </c:extLst>
        </c:ser>
        <c:ser>
          <c:idx val="1"/>
          <c:order val="1"/>
          <c:tx>
            <c:strRef>
              <c:f>控制法!$C$27</c:f>
              <c:strCache>
                <c:ptCount val="1"/>
                <c:pt idx="0">
                  <c:v>宠物用品</c:v>
                </c:pt>
              </c:strCache>
            </c:strRef>
          </c:tx>
          <c:spPr>
            <a:ln w="28575" cap="rnd">
              <a:solidFill>
                <a:schemeClr val="accent2"/>
              </a:solidFill>
              <a:round/>
            </a:ln>
            <a:effectLst/>
          </c:spPr>
          <c:marker>
            <c:symbol val="none"/>
          </c:marker>
          <c:cat>
            <c:strRef>
              <c:f>控制法!$A$28:$A$39</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控制法!$C$28:$C$39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1-FC88-5D47-BC84-79CB2A4EC1AA}"/>
            </c:ext>
          </c:extLst>
        </c:ser>
        <c:ser>
          <c:idx val="2"/>
          <c:order val="2"/>
          <c:tx>
            <c:strRef>
              <c:f>控制法!$D$27</c:f>
              <c:strCache>
                <c:ptCount val="1"/>
                <c:pt idx="0">
                  <c:v>警告标</c:v>
                </c:pt>
              </c:strCache>
            </c:strRef>
          </c:tx>
          <c:spPr>
            <a:ln w="28575" cap="rnd">
              <a:solidFill>
                <a:schemeClr val="accent3"/>
              </a:solidFill>
              <a:round/>
            </a:ln>
            <a:effectLst/>
          </c:spPr>
          <c:marker>
            <c:symbol val="none"/>
          </c:marker>
          <c:cat>
            <c:strRef>
              <c:f>控制法!$A$28:$A$39</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控制法!$D$28:$D$39</c:f>
              <c:numCache>
                <c:formatCode>General</c:formatCode>
                <c:ptCount val="12"/>
                <c:pt idx="0">
                  <c:v>82190.393763</c:v>
                </c:pt>
                <c:pt idx="1">
                  <c:v>77177.717163209003</c:v>
                </c:pt>
                <c:pt idx="2">
                  <c:v>274581.57657788199</c:v>
                </c:pt>
                <c:pt idx="3">
                  <c:v>216350.26289700001</c:v>
                </c:pt>
                <c:pt idx="4">
                  <c:v>347903.07269691199</c:v>
                </c:pt>
                <c:pt idx="5">
                  <c:v>406920.52441379998</c:v>
                </c:pt>
                <c:pt idx="6">
                  <c:v>347489.67221009999</c:v>
                </c:pt>
                <c:pt idx="7">
                  <c:v>462951.10162859998</c:v>
                </c:pt>
                <c:pt idx="8">
                  <c:v>415767.62143544998</c:v>
                </c:pt>
                <c:pt idx="9">
                  <c:v>307138.75165805803</c:v>
                </c:pt>
                <c:pt idx="10">
                  <c:v>560053.13337255002</c:v>
                </c:pt>
                <c:pt idx="11">
                  <c:v>513013.92828901397</c:v>
                </c:pt>
              </c:numCache>
            </c:numRef>
          </c:val>
          <c:smooth val="1"/>
          <c:extLst>
            <c:ext xmlns:c16="http://schemas.microsoft.com/office/drawing/2014/chart" uri="{C3380CC4-5D6E-409C-BE32-E72D297353CC}">
              <c16:uniqueId val="{00000002-FC88-5D47-BC84-79CB2A4EC1AA}"/>
            </c:ext>
          </c:extLst>
        </c:ser>
        <c:ser>
          <c:idx val="3"/>
          <c:order val="3"/>
          <c:tx>
            <c:strRef>
              <c:f>控制法!$E$27</c:f>
              <c:strCache>
                <c:ptCount val="1"/>
                <c:pt idx="0">
                  <c:v>暖靴</c:v>
                </c:pt>
              </c:strCache>
            </c:strRef>
          </c:tx>
          <c:spPr>
            <a:ln w="28575" cap="rnd">
              <a:solidFill>
                <a:schemeClr val="accent4"/>
              </a:solidFill>
              <a:round/>
            </a:ln>
            <a:effectLst/>
          </c:spPr>
          <c:marker>
            <c:symbol val="none"/>
          </c:marker>
          <c:cat>
            <c:strRef>
              <c:f>控制法!$A$28:$A$39</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控制法!$E$28:$E$39</c:f>
              <c:numCache>
                <c:formatCode>General</c:formatCode>
                <c:ptCount val="12"/>
                <c:pt idx="0">
                  <c:v>57118.233818615401</c:v>
                </c:pt>
                <c:pt idx="1">
                  <c:v>282039.70225500001</c:v>
                </c:pt>
                <c:pt idx="2">
                  <c:v>267860.33682959998</c:v>
                </c:pt>
                <c:pt idx="3">
                  <c:v>152184.76943099999</c:v>
                </c:pt>
                <c:pt idx="4">
                  <c:v>392195.92825732002</c:v>
                </c:pt>
                <c:pt idx="5">
                  <c:v>257433.08298899999</c:v>
                </c:pt>
                <c:pt idx="6">
                  <c:v>234712.95974729999</c:v>
                </c:pt>
                <c:pt idx="7">
                  <c:v>193999.30782770301</c:v>
                </c:pt>
                <c:pt idx="8">
                  <c:v>336451.77412515</c:v>
                </c:pt>
                <c:pt idx="9">
                  <c:v>278499.72181439999</c:v>
                </c:pt>
                <c:pt idx="10">
                  <c:v>786852.40998707397</c:v>
                </c:pt>
                <c:pt idx="11">
                  <c:v>1019700.94490051</c:v>
                </c:pt>
              </c:numCache>
            </c:numRef>
          </c:val>
          <c:smooth val="1"/>
          <c:extLst>
            <c:ext xmlns:c16="http://schemas.microsoft.com/office/drawing/2014/chart" uri="{C3380CC4-5D6E-409C-BE32-E72D297353CC}">
              <c16:uniqueId val="{00000003-FC88-5D47-BC84-79CB2A4EC1AA}"/>
            </c:ext>
          </c:extLst>
        </c:ser>
        <c:dLbls>
          <c:showLegendKey val="0"/>
          <c:showVal val="0"/>
          <c:showCatName val="0"/>
          <c:showSerName val="0"/>
          <c:showPercent val="0"/>
          <c:showBubbleSize val="0"/>
        </c:dLbls>
        <c:smooth val="0"/>
        <c:axId val="1826719935"/>
        <c:axId val="1702198143"/>
      </c:lineChart>
      <c:catAx>
        <c:axId val="182671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702198143"/>
        <c:crosses val="autoZero"/>
        <c:auto val="1"/>
        <c:lblAlgn val="ctr"/>
        <c:lblOffset val="100"/>
        <c:noMultiLvlLbl val="0"/>
      </c:catAx>
      <c:valAx>
        <c:axId val="1702198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82671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87209111640532"/>
          <c:y val="0.13425925925925927"/>
          <c:w val="0.8690105696049516"/>
          <c:h val="0.72625255176436276"/>
        </c:manualLayout>
      </c:layout>
      <c:barChart>
        <c:barDir val="col"/>
        <c:grouping val="clustered"/>
        <c:varyColors val="0"/>
        <c:ser>
          <c:idx val="0"/>
          <c:order val="0"/>
          <c:tx>
            <c:strRef>
              <c:f>控制法!$E$45</c:f>
              <c:strCache>
                <c:ptCount val="1"/>
                <c:pt idx="0">
                  <c:v>成交量</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控制法!$D$46:$D$55</c:f>
              <c:strCache>
                <c:ptCount val="10"/>
                <c:pt idx="0">
                  <c:v> 2006/12/06</c:v>
                </c:pt>
                <c:pt idx="1">
                  <c:v> 2006/12/07</c:v>
                </c:pt>
                <c:pt idx="2">
                  <c:v> 2006/12/08</c:v>
                </c:pt>
                <c:pt idx="3">
                  <c:v> 2006/12/11</c:v>
                </c:pt>
                <c:pt idx="4">
                  <c:v> 2006/12/12</c:v>
                </c:pt>
                <c:pt idx="5">
                  <c:v> 2006/12/13</c:v>
                </c:pt>
                <c:pt idx="6">
                  <c:v> 2006/12/14</c:v>
                </c:pt>
                <c:pt idx="7">
                  <c:v> 2006/12/15</c:v>
                </c:pt>
                <c:pt idx="8">
                  <c:v> 2006/12/18</c:v>
                </c:pt>
                <c:pt idx="9">
                  <c:v> 2006/12/19</c:v>
                </c:pt>
              </c:strCache>
            </c:strRef>
          </c:cat>
          <c:val>
            <c:numRef>
              <c:f>控制法!$E$46:$E$55</c:f>
              <c:numCache>
                <c:formatCode>General</c:formatCode>
                <c:ptCount val="10"/>
                <c:pt idx="0">
                  <c:v>23504352</c:v>
                </c:pt>
                <c:pt idx="1">
                  <c:v>26170088</c:v>
                </c:pt>
                <c:pt idx="2">
                  <c:v>22125894</c:v>
                </c:pt>
                <c:pt idx="3">
                  <c:v>20837233</c:v>
                </c:pt>
                <c:pt idx="4">
                  <c:v>17400793</c:v>
                </c:pt>
                <c:pt idx="5">
                  <c:v>25551184</c:v>
                </c:pt>
                <c:pt idx="6">
                  <c:v>15818192</c:v>
                </c:pt>
                <c:pt idx="7">
                  <c:v>22487599</c:v>
                </c:pt>
                <c:pt idx="8">
                  <c:v>23940857</c:v>
                </c:pt>
                <c:pt idx="9">
                  <c:v>18424502</c:v>
                </c:pt>
              </c:numCache>
            </c:numRef>
          </c:val>
          <c:extLst>
            <c:ext xmlns:c16="http://schemas.microsoft.com/office/drawing/2014/chart" uri="{C3380CC4-5D6E-409C-BE32-E72D297353CC}">
              <c16:uniqueId val="{00000000-E180-B249-9FBC-3F859D68FD63}"/>
            </c:ext>
          </c:extLst>
        </c:ser>
        <c:dLbls>
          <c:dLblPos val="inEnd"/>
          <c:showLegendKey val="0"/>
          <c:showVal val="1"/>
          <c:showCatName val="0"/>
          <c:showSerName val="0"/>
          <c:showPercent val="0"/>
          <c:showBubbleSize val="0"/>
        </c:dLbls>
        <c:gapWidth val="267"/>
        <c:overlap val="-43"/>
        <c:axId val="1938466431"/>
        <c:axId val="1938463295"/>
      </c:barChart>
      <c:catAx>
        <c:axId val="193846643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0" spcFirstLastPara="1" vertOverflow="ellipsis"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zh-CN"/>
          </a:p>
        </c:txPr>
        <c:crossAx val="1938463295"/>
        <c:crosses val="autoZero"/>
        <c:auto val="1"/>
        <c:lblAlgn val="ctr"/>
        <c:lblOffset val="100"/>
        <c:noMultiLvlLbl val="0"/>
      </c:catAx>
      <c:valAx>
        <c:axId val="193846329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zh-CN"/>
          </a:p>
        </c:txPr>
        <c:crossAx val="1938466431"/>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推导法!$B$1</c:f>
              <c:strCache>
                <c:ptCount val="1"/>
                <c:pt idx="0">
                  <c:v>销售额</c:v>
                </c:pt>
              </c:strCache>
            </c:strRef>
          </c:tx>
          <c:spPr>
            <a:ln w="28575" cap="rnd">
              <a:solidFill>
                <a:schemeClr val="accent1"/>
              </a:solidFill>
              <a:round/>
            </a:ln>
            <a:effectLst/>
          </c:spPr>
          <c:marker>
            <c:symbol val="none"/>
          </c:marker>
          <c:cat>
            <c:strRef>
              <c:f>推导法!$A$2:$A$11</c:f>
              <c:strCache>
                <c:ptCount val="10"/>
                <c:pt idx="0">
                  <c:v>A</c:v>
                </c:pt>
                <c:pt idx="1">
                  <c:v>B</c:v>
                </c:pt>
                <c:pt idx="2">
                  <c:v>C</c:v>
                </c:pt>
                <c:pt idx="3">
                  <c:v>D</c:v>
                </c:pt>
                <c:pt idx="4">
                  <c:v>E</c:v>
                </c:pt>
                <c:pt idx="5">
                  <c:v>F</c:v>
                </c:pt>
                <c:pt idx="6">
                  <c:v>G</c:v>
                </c:pt>
                <c:pt idx="7">
                  <c:v>H</c:v>
                </c:pt>
                <c:pt idx="8">
                  <c:v>I</c:v>
                </c:pt>
                <c:pt idx="9">
                  <c:v>J</c:v>
                </c:pt>
              </c:strCache>
            </c:strRef>
          </c:cat>
          <c:val>
            <c:numRef>
              <c:f>推导法!$B$2:$B$11</c:f>
              <c:numCache>
                <c:formatCode>General</c:formatCode>
                <c:ptCount val="10"/>
                <c:pt idx="0">
                  <c:v>0</c:v>
                </c:pt>
                <c:pt idx="1">
                  <c:v>36</c:v>
                </c:pt>
                <c:pt idx="2">
                  <c:v>82</c:v>
                </c:pt>
                <c:pt idx="3">
                  <c:v>51</c:v>
                </c:pt>
                <c:pt idx="4">
                  <c:v>99</c:v>
                </c:pt>
                <c:pt idx="5">
                  <c:v>92</c:v>
                </c:pt>
                <c:pt idx="6">
                  <c:v>16</c:v>
                </c:pt>
                <c:pt idx="7">
                  <c:v>62</c:v>
                </c:pt>
                <c:pt idx="8">
                  <c:v>96</c:v>
                </c:pt>
                <c:pt idx="9">
                  <c:v>95</c:v>
                </c:pt>
              </c:numCache>
            </c:numRef>
          </c:val>
          <c:smooth val="1"/>
          <c:extLst>
            <c:ext xmlns:c16="http://schemas.microsoft.com/office/drawing/2014/chart" uri="{C3380CC4-5D6E-409C-BE32-E72D297353CC}">
              <c16:uniqueId val="{00000000-6463-9C4F-B74E-DB3329283D7B}"/>
            </c:ext>
          </c:extLst>
        </c:ser>
        <c:dLbls>
          <c:showLegendKey val="0"/>
          <c:showVal val="0"/>
          <c:showCatName val="0"/>
          <c:showSerName val="0"/>
          <c:showPercent val="0"/>
          <c:showBubbleSize val="0"/>
        </c:dLbls>
        <c:marker val="1"/>
        <c:smooth val="0"/>
        <c:axId val="1739335743"/>
        <c:axId val="1739333951"/>
      </c:lineChart>
      <c:scatterChart>
        <c:scatterStyle val="lineMarker"/>
        <c:varyColors val="0"/>
        <c:ser>
          <c:idx val="1"/>
          <c:order val="1"/>
          <c:spPr>
            <a:ln w="25400" cap="rnd">
              <a:solidFill>
                <a:srgbClr val="C00000"/>
              </a:solidFill>
              <a:round/>
            </a:ln>
            <a:effectLst/>
          </c:spPr>
          <c:marker>
            <c:symbol val="none"/>
          </c:marker>
          <c:xVal>
            <c:numRef>
              <c:f>推导法!$D$2:$D$3</c:f>
              <c:numCache>
                <c:formatCode>General</c:formatCode>
                <c:ptCount val="2"/>
                <c:pt idx="0">
                  <c:v>0</c:v>
                </c:pt>
                <c:pt idx="1">
                  <c:v>10</c:v>
                </c:pt>
              </c:numCache>
            </c:numRef>
          </c:xVal>
          <c:yVal>
            <c:numRef>
              <c:f>推导法!$E$2:$E$3</c:f>
              <c:numCache>
                <c:formatCode>General</c:formatCode>
                <c:ptCount val="2"/>
                <c:pt idx="0">
                  <c:v>60</c:v>
                </c:pt>
                <c:pt idx="1">
                  <c:v>90</c:v>
                </c:pt>
              </c:numCache>
            </c:numRef>
          </c:yVal>
          <c:smooth val="0"/>
          <c:extLst>
            <c:ext xmlns:c16="http://schemas.microsoft.com/office/drawing/2014/chart" uri="{C3380CC4-5D6E-409C-BE32-E72D297353CC}">
              <c16:uniqueId val="{00000001-6463-9C4F-B74E-DB3329283D7B}"/>
            </c:ext>
          </c:extLst>
        </c:ser>
        <c:dLbls>
          <c:showLegendKey val="0"/>
          <c:showVal val="0"/>
          <c:showCatName val="0"/>
          <c:showSerName val="0"/>
          <c:showPercent val="0"/>
          <c:showBubbleSize val="0"/>
        </c:dLbls>
        <c:axId val="1783176191"/>
        <c:axId val="1783174847"/>
      </c:scatterChart>
      <c:catAx>
        <c:axId val="173933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739333951"/>
        <c:crosses val="autoZero"/>
        <c:auto val="1"/>
        <c:lblAlgn val="ctr"/>
        <c:lblOffset val="100"/>
        <c:noMultiLvlLbl val="0"/>
      </c:catAx>
      <c:valAx>
        <c:axId val="1739333951"/>
        <c:scaling>
          <c:orientation val="minMax"/>
          <c:max val="12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739335743"/>
        <c:crosses val="autoZero"/>
        <c:crossBetween val="between"/>
      </c:valAx>
      <c:valAx>
        <c:axId val="1783174847"/>
        <c:scaling>
          <c:orientation val="minMax"/>
          <c:max val="120"/>
        </c:scaling>
        <c:delete val="1"/>
        <c:axPos val="r"/>
        <c:numFmt formatCode="General" sourceLinked="1"/>
        <c:majorTickMark val="out"/>
        <c:minorTickMark val="none"/>
        <c:tickLblPos val="nextTo"/>
        <c:crossAx val="1783176191"/>
        <c:crosses val="max"/>
        <c:crossBetween val="midCat"/>
      </c:valAx>
      <c:valAx>
        <c:axId val="1783176191"/>
        <c:scaling>
          <c:orientation val="minMax"/>
          <c:max val="10"/>
        </c:scaling>
        <c:delete val="0"/>
        <c:axPos val="t"/>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zh-CN"/>
          </a:p>
        </c:txPr>
        <c:crossAx val="1783174847"/>
        <c:crosses val="max"/>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推导法!$C$23</c:f>
              <c:strCache>
                <c:ptCount val="1"/>
                <c:pt idx="0">
                  <c:v>百分比</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0-6FF4-9F4F-B079-362F1B0A8AFF}"/>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1-6FF4-9F4F-B079-362F1B0A8AFF}"/>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2-6FF4-9F4F-B079-362F1B0A8AFF}"/>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6FF4-9F4F-B079-362F1B0A8AFF}"/>
              </c:ext>
            </c:extLst>
          </c:dPt>
          <c:dPt>
            <c:idx val="4"/>
            <c:invertIfNegative val="0"/>
            <c:bubble3D val="0"/>
            <c:spPr>
              <a:solidFill>
                <a:schemeClr val="tx2">
                  <a:lumMod val="20000"/>
                  <a:lumOff val="80000"/>
                  <a:alpha val="80000"/>
                </a:schemeClr>
              </a:solidFill>
              <a:ln>
                <a:noFill/>
              </a:ln>
              <a:effectLst/>
            </c:spPr>
            <c:extLst>
              <c:ext xmlns:c16="http://schemas.microsoft.com/office/drawing/2014/chart" uri="{C3380CC4-5D6E-409C-BE32-E72D297353CC}">
                <c16:uniqueId val="{00000004-6FF4-9F4F-B079-362F1B0A8AFF}"/>
              </c:ext>
            </c:extLst>
          </c:dPt>
          <c:dPt>
            <c:idx val="5"/>
            <c:invertIfNegative val="0"/>
            <c:bubble3D val="0"/>
            <c:spPr>
              <a:solidFill>
                <a:schemeClr val="tx2">
                  <a:lumMod val="20000"/>
                  <a:lumOff val="80000"/>
                  <a:alpha val="54760"/>
                </a:schemeClr>
              </a:solidFill>
              <a:ln>
                <a:noFill/>
              </a:ln>
              <a:effectLst/>
            </c:spPr>
            <c:extLst>
              <c:ext xmlns:c16="http://schemas.microsoft.com/office/drawing/2014/chart" uri="{C3380CC4-5D6E-409C-BE32-E72D297353CC}">
                <c16:uniqueId val="{00000005-6FF4-9F4F-B079-362F1B0A8AFF}"/>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SimSun" panose="02010600030101010101" pitchFamily="2" charset="-122"/>
                    <a:ea typeface="SimSun" panose="02010600030101010101" pitchFamily="2" charset="-122"/>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推导法!$A$24:$A$29</c:f>
              <c:strCache>
                <c:ptCount val="6"/>
                <c:pt idx="0">
                  <c:v>[2-3)km</c:v>
                </c:pt>
                <c:pt idx="1">
                  <c:v>[3-4)km</c:v>
                </c:pt>
                <c:pt idx="2">
                  <c:v>[0-2)km</c:v>
                </c:pt>
                <c:pt idx="3">
                  <c:v>[4-5)km</c:v>
                </c:pt>
                <c:pt idx="4">
                  <c:v>[5-6)km</c:v>
                </c:pt>
                <c:pt idx="5">
                  <c:v>[6+)km</c:v>
                </c:pt>
              </c:strCache>
            </c:strRef>
          </c:cat>
          <c:val>
            <c:numRef>
              <c:f>推导法!$C$24:$C$29</c:f>
              <c:numCache>
                <c:formatCode>0.00%</c:formatCode>
                <c:ptCount val="6"/>
                <c:pt idx="0">
                  <c:v>0.390625</c:v>
                </c:pt>
                <c:pt idx="1">
                  <c:v>0.234375</c:v>
                </c:pt>
                <c:pt idx="2">
                  <c:v>0.1875</c:v>
                </c:pt>
                <c:pt idx="3">
                  <c:v>0.125</c:v>
                </c:pt>
                <c:pt idx="4">
                  <c:v>3.7499999999999999E-2</c:v>
                </c:pt>
                <c:pt idx="5">
                  <c:v>2.5000000000000001E-2</c:v>
                </c:pt>
              </c:numCache>
            </c:numRef>
          </c:val>
          <c:extLst>
            <c:ext xmlns:c16="http://schemas.microsoft.com/office/drawing/2014/chart" uri="{C3380CC4-5D6E-409C-BE32-E72D297353CC}">
              <c16:uniqueId val="{00000000-ECFB-184F-BFF1-C47B3096C3B1}"/>
            </c:ext>
          </c:extLst>
        </c:ser>
        <c:dLbls>
          <c:showLegendKey val="0"/>
          <c:showVal val="0"/>
          <c:showCatName val="0"/>
          <c:showSerName val="0"/>
          <c:showPercent val="0"/>
          <c:showBubbleSize val="0"/>
        </c:dLbls>
        <c:gapWidth val="0"/>
        <c:overlap val="-27"/>
        <c:axId val="2091280895"/>
        <c:axId val="1765593471"/>
      </c:barChart>
      <c:scatterChart>
        <c:scatterStyle val="lineMarker"/>
        <c:varyColors val="0"/>
        <c:ser>
          <c:idx val="1"/>
          <c:order val="1"/>
          <c:spPr>
            <a:ln w="25400" cap="rnd">
              <a:solidFill>
                <a:srgbClr val="C00000"/>
              </a:solidFill>
              <a:round/>
            </a:ln>
            <a:effectLst>
              <a:outerShdw blurRad="50800" dist="38100" dir="5400000" algn="t" rotWithShape="0">
                <a:prstClr val="black">
                  <a:alpha val="40000"/>
                </a:prstClr>
              </a:outerShdw>
            </a:effectLst>
          </c:spPr>
          <c:marker>
            <c:symbol val="circle"/>
            <c:size val="6"/>
            <c:spPr>
              <a:solidFill>
                <a:schemeClr val="accent2"/>
              </a:solidFill>
              <a:ln w="9525">
                <a:solidFill>
                  <a:schemeClr val="accent2"/>
                </a:solidFill>
              </a:ln>
              <a:effectLst>
                <a:outerShdw blurRad="50800" dist="38100" dir="5400000" algn="t" rotWithShape="0">
                  <a:prstClr val="black">
                    <a:alpha val="40000"/>
                  </a:prstClr>
                </a:outerShdw>
              </a:effectLst>
            </c:spPr>
          </c:marker>
          <c:xVal>
            <c:numRef>
              <c:f>推导法!$D$24:$D$30</c:f>
              <c:numCache>
                <c:formatCode>General</c:formatCode>
                <c:ptCount val="7"/>
                <c:pt idx="0">
                  <c:v>0</c:v>
                </c:pt>
                <c:pt idx="1">
                  <c:v>1</c:v>
                </c:pt>
                <c:pt idx="2">
                  <c:v>2</c:v>
                </c:pt>
                <c:pt idx="3">
                  <c:v>3</c:v>
                </c:pt>
                <c:pt idx="4">
                  <c:v>4</c:v>
                </c:pt>
                <c:pt idx="5">
                  <c:v>5</c:v>
                </c:pt>
                <c:pt idx="6">
                  <c:v>6</c:v>
                </c:pt>
              </c:numCache>
            </c:numRef>
          </c:xVal>
          <c:yVal>
            <c:numRef>
              <c:f>推导法!$E$24:$E$30</c:f>
              <c:numCache>
                <c:formatCode>0.00%</c:formatCode>
                <c:ptCount val="7"/>
                <c:pt idx="0">
                  <c:v>0</c:v>
                </c:pt>
                <c:pt idx="1">
                  <c:v>0.390625</c:v>
                </c:pt>
                <c:pt idx="2">
                  <c:v>0.625</c:v>
                </c:pt>
                <c:pt idx="3">
                  <c:v>0.8125</c:v>
                </c:pt>
                <c:pt idx="4">
                  <c:v>0.9375</c:v>
                </c:pt>
                <c:pt idx="5">
                  <c:v>0.97499999999999998</c:v>
                </c:pt>
                <c:pt idx="6">
                  <c:v>1</c:v>
                </c:pt>
              </c:numCache>
            </c:numRef>
          </c:yVal>
          <c:smooth val="0"/>
          <c:extLst>
            <c:ext xmlns:c16="http://schemas.microsoft.com/office/drawing/2014/chart" uri="{C3380CC4-5D6E-409C-BE32-E72D297353CC}">
              <c16:uniqueId val="{00000001-ECFB-184F-BFF1-C47B3096C3B1}"/>
            </c:ext>
          </c:extLst>
        </c:ser>
        <c:dLbls>
          <c:showLegendKey val="0"/>
          <c:showVal val="0"/>
          <c:showCatName val="0"/>
          <c:showSerName val="0"/>
          <c:showPercent val="0"/>
          <c:showBubbleSize val="0"/>
        </c:dLbls>
        <c:axId val="1739341119"/>
        <c:axId val="1739339327"/>
      </c:scatterChart>
      <c:catAx>
        <c:axId val="209128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765593471"/>
        <c:crosses val="autoZero"/>
        <c:auto val="1"/>
        <c:lblAlgn val="ctr"/>
        <c:lblOffset val="100"/>
        <c:noMultiLvlLbl val="0"/>
      </c:catAx>
      <c:valAx>
        <c:axId val="1765593471"/>
        <c:scaling>
          <c:orientation val="minMax"/>
          <c:max val="1"/>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091280895"/>
        <c:crosses val="autoZero"/>
        <c:crossBetween val="between"/>
      </c:valAx>
      <c:valAx>
        <c:axId val="1739339327"/>
        <c:scaling>
          <c:orientation val="minMax"/>
          <c:max val="1"/>
        </c:scaling>
        <c:delete val="1"/>
        <c:axPos val="r"/>
        <c:numFmt formatCode="0.00%" sourceLinked="1"/>
        <c:majorTickMark val="out"/>
        <c:minorTickMark val="none"/>
        <c:tickLblPos val="nextTo"/>
        <c:crossAx val="1739341119"/>
        <c:crosses val="max"/>
        <c:crossBetween val="midCat"/>
      </c:valAx>
      <c:valAx>
        <c:axId val="1739341119"/>
        <c:scaling>
          <c:orientation val="minMax"/>
          <c:max val="6"/>
        </c:scaling>
        <c:delete val="0"/>
        <c:axPos val="t"/>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739339327"/>
        <c:crosses val="max"/>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金山大事件</a:t>
            </a:r>
            <a:endParaRPr lang="en-US" altLang="zh-C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zh-CN"/>
        </a:p>
      </c:txPr>
    </c:title>
    <c:autoTitleDeleted val="0"/>
    <c:plotArea>
      <c:layout/>
      <c:lineChart>
        <c:grouping val="standard"/>
        <c:varyColors val="0"/>
        <c:ser>
          <c:idx val="0"/>
          <c:order val="0"/>
          <c:tx>
            <c:strRef>
              <c:f>虚拟法!$B$2</c:f>
              <c:strCache>
                <c:ptCount val="1"/>
                <c:pt idx="0">
                  <c:v>1</c:v>
                </c:pt>
              </c:strCache>
            </c:strRef>
          </c:tx>
          <c:spPr>
            <a:ln w="28575" cap="rnd">
              <a:noFill/>
              <a:round/>
            </a:ln>
            <a:effectLst>
              <a:outerShdw blurRad="63500" sx="102000" sy="102000" algn="ctr" rotWithShape="0">
                <a:prstClr val="black">
                  <a:alpha val="40000"/>
                </a:prstClr>
              </a:outerShdw>
            </a:effectLst>
          </c:spPr>
          <c:marker>
            <c:symbol val="circle"/>
            <c:size val="8"/>
            <c:spPr>
              <a:solidFill>
                <a:srgbClr val="FFC000"/>
              </a:solidFill>
              <a:ln w="9525">
                <a:noFill/>
              </a:ln>
              <a:effectLst>
                <a:outerShdw blurRad="63500" sx="102000" sy="102000" algn="ctr" rotWithShape="0">
                  <a:prstClr val="black">
                    <a:alpha val="40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虚拟法!$A$2:$A$11</c:f>
              <c:strCache>
                <c:ptCount val="10"/>
                <c:pt idx="0">
                  <c:v>1月 金山云与马上消费金融达成战略合作 共缔金融生态圈</c:v>
                </c:pt>
                <c:pt idx="1">
                  <c:v>2月 IDC：金山云稳居2019 Q3 中国公有云互联网前三</c:v>
                </c:pt>
                <c:pt idx="2">
                  <c:v>3月 金山云边缘计算助力爱奇艺，冲进30毫秒高速区</c:v>
                </c:pt>
                <c:pt idx="3">
                  <c:v>3月 金山云直播加速产品入围“科技冬奥、智慧北京”十佳名单</c:v>
                </c:pt>
                <c:pt idx="4">
                  <c:v>3月 数字化助力，“新基建”蓝图初显</c:v>
                </c:pt>
                <c:pt idx="5">
                  <c:v>5月 金山云纳斯达克敲钟上市 不负时代的机遇</c:v>
                </c:pt>
                <c:pt idx="6">
                  <c:v>5月 金山云上市首日股价涨超40％ 迎来高光时刻</c:v>
                </c:pt>
                <c:pt idx="7">
                  <c:v>5月 “All in”云服务 金山云登陆纳斯达克</c:v>
                </c:pt>
                <c:pt idx="8">
                  <c:v>6月 一图看懂金山云2020年Q1财报</c:v>
                </c:pt>
                <c:pt idx="9">
                  <c:v>7月 首批！金山云获得可信金融云解决方案认证</c:v>
                </c:pt>
              </c:strCache>
            </c:strRef>
          </c:cat>
          <c:val>
            <c:numRef>
              <c:f>虚拟法!$B$2:$B$11</c:f>
              <c:numCache>
                <c:formatCode>General</c:formatCode>
                <c:ptCount val="10"/>
                <c:pt idx="0">
                  <c:v>1</c:v>
                </c:pt>
                <c:pt idx="1">
                  <c:v>5</c:v>
                </c:pt>
                <c:pt idx="2">
                  <c:v>3</c:v>
                </c:pt>
                <c:pt idx="3">
                  <c:v>1</c:v>
                </c:pt>
                <c:pt idx="4">
                  <c:v>5</c:v>
                </c:pt>
                <c:pt idx="5">
                  <c:v>7</c:v>
                </c:pt>
                <c:pt idx="6">
                  <c:v>3</c:v>
                </c:pt>
                <c:pt idx="7">
                  <c:v>6</c:v>
                </c:pt>
                <c:pt idx="8">
                  <c:v>2</c:v>
                </c:pt>
                <c:pt idx="9">
                  <c:v>4</c:v>
                </c:pt>
              </c:numCache>
            </c:numRef>
          </c:val>
          <c:smooth val="0"/>
          <c:extLst>
            <c:ext xmlns:c16="http://schemas.microsoft.com/office/drawing/2014/chart" uri="{C3380CC4-5D6E-409C-BE32-E72D297353CC}">
              <c16:uniqueId val="{00000000-A5A8-AB44-82B9-5D78301D0A1B}"/>
            </c:ext>
          </c:extLst>
        </c:ser>
        <c:dLbls>
          <c:showLegendKey val="0"/>
          <c:showVal val="0"/>
          <c:showCatName val="0"/>
          <c:showSerName val="0"/>
          <c:showPercent val="0"/>
          <c:showBubbleSize val="0"/>
        </c:dLbls>
        <c:dropLines>
          <c:spPr>
            <a:ln w="12700" cap="flat" cmpd="sng" algn="ctr">
              <a:gradFill>
                <a:gsLst>
                  <a:gs pos="100000">
                    <a:schemeClr val="accent1">
                      <a:lumMod val="5000"/>
                      <a:lumOff val="95000"/>
                    </a:schemeClr>
                  </a:gs>
                  <a:gs pos="0">
                    <a:schemeClr val="accent1">
                      <a:lumMod val="30000"/>
                      <a:lumOff val="70000"/>
                    </a:schemeClr>
                  </a:gs>
                </a:gsLst>
                <a:lin ang="5400000" scaled="1"/>
              </a:gradFill>
              <a:round/>
            </a:ln>
            <a:effectLst/>
          </c:spPr>
        </c:dropLines>
        <c:marker val="1"/>
        <c:smooth val="0"/>
        <c:axId val="1485138432"/>
        <c:axId val="1554086336"/>
      </c:lineChart>
      <c:catAx>
        <c:axId val="1485138432"/>
        <c:scaling>
          <c:orientation val="minMax"/>
        </c:scaling>
        <c:delete val="1"/>
        <c:axPos val="b"/>
        <c:numFmt formatCode="General" sourceLinked="1"/>
        <c:majorTickMark val="none"/>
        <c:minorTickMark val="none"/>
        <c:tickLblPos val="nextTo"/>
        <c:crossAx val="1554086336"/>
        <c:crosses val="autoZero"/>
        <c:auto val="1"/>
        <c:lblAlgn val="ctr"/>
        <c:lblOffset val="100"/>
        <c:noMultiLvlLbl val="0"/>
      </c:catAx>
      <c:valAx>
        <c:axId val="1554086336"/>
        <c:scaling>
          <c:orientation val="minMax"/>
        </c:scaling>
        <c:delete val="1"/>
        <c:axPos val="l"/>
        <c:numFmt formatCode="General" sourceLinked="1"/>
        <c:majorTickMark val="none"/>
        <c:minorTickMark val="none"/>
        <c:tickLblPos val="nextTo"/>
        <c:crossAx val="148513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虚拟法!$B$1</c:f>
              <c:strCache>
                <c:ptCount val="1"/>
                <c:pt idx="0">
                  <c:v>高度</c:v>
                </c:pt>
              </c:strCache>
            </c:strRef>
          </c:tx>
          <c:spPr>
            <a:ln w="28575" cap="rnd">
              <a:noFill/>
              <a:round/>
            </a:ln>
            <a:effectLst/>
          </c:spPr>
          <c:marker>
            <c:symbol val="picture"/>
            <c:spPr>
              <a:blipFill>
                <a:blip xmlns:r="http://schemas.openxmlformats.org/officeDocument/2006/relationships" r:embed="rId1"/>
                <a:stretch>
                  <a:fillRect/>
                </a:stretch>
              </a:blipFill>
              <a:ln w="25400">
                <a:noFill/>
              </a:ln>
              <a:effectLst/>
            </c:spPr>
          </c:marker>
          <c:dLbls>
            <c:dLbl>
              <c:idx val="0"/>
              <c:tx>
                <c:rich>
                  <a:bodyPr/>
                  <a:lstStyle/>
                  <a:p>
                    <a:fld id="{5BE56CC3-8ADB-AB44-8D26-E5B24468D3F0}" type="CELLRANGE">
                      <a:rPr lang="zh-CN" altLang="en-US"/>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8CF7-B544-8407-A1E01FB93D7C}"/>
                </c:ext>
              </c:extLst>
            </c:dLbl>
            <c:dLbl>
              <c:idx val="1"/>
              <c:tx>
                <c:rich>
                  <a:bodyPr/>
                  <a:lstStyle/>
                  <a:p>
                    <a:fld id="{FC10A540-F802-8748-A546-E486F5F34989}" type="CELLRANGE">
                      <a:rPr lang="zh-CN" altLang="en-US"/>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8CF7-B544-8407-A1E01FB93D7C}"/>
                </c:ext>
              </c:extLst>
            </c:dLbl>
            <c:dLbl>
              <c:idx val="2"/>
              <c:tx>
                <c:rich>
                  <a:bodyPr/>
                  <a:lstStyle/>
                  <a:p>
                    <a:fld id="{4E6FC41F-B8DA-4D42-9112-37CA42622F92}" type="CELLRANGE">
                      <a:rPr lang="zh-CN" altLang="en-US"/>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8CF7-B544-8407-A1E01FB93D7C}"/>
                </c:ext>
              </c:extLst>
            </c:dLbl>
            <c:dLbl>
              <c:idx val="3"/>
              <c:tx>
                <c:rich>
                  <a:bodyPr/>
                  <a:lstStyle/>
                  <a:p>
                    <a:fld id="{81B3A574-7679-5E48-9B60-D50CAA90291E}" type="CELLRANGE">
                      <a:rPr lang="zh-CN" altLang="en-US"/>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8CF7-B544-8407-A1E01FB93D7C}"/>
                </c:ext>
              </c:extLst>
            </c:dLbl>
            <c:dLbl>
              <c:idx val="4"/>
              <c:tx>
                <c:rich>
                  <a:bodyPr/>
                  <a:lstStyle/>
                  <a:p>
                    <a:fld id="{F1C826AD-DE97-8043-857A-DF4F88530201}" type="CELLRANGE">
                      <a:rPr lang="zh-CN" altLang="en-US"/>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8CF7-B544-8407-A1E01FB93D7C}"/>
                </c:ext>
              </c:extLst>
            </c:dLbl>
            <c:dLbl>
              <c:idx val="5"/>
              <c:tx>
                <c:rich>
                  <a:bodyPr/>
                  <a:lstStyle/>
                  <a:p>
                    <a:fld id="{47AD2C1E-AAF6-1F45-BF97-664999DBBA53}" type="CELLRANGE">
                      <a:rPr lang="zh-CN" altLang="en-US"/>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8CF7-B544-8407-A1E01FB93D7C}"/>
                </c:ext>
              </c:extLst>
            </c:dLbl>
            <c:dLbl>
              <c:idx val="6"/>
              <c:tx>
                <c:rich>
                  <a:bodyPr/>
                  <a:lstStyle/>
                  <a:p>
                    <a:fld id="{21FF35FA-8F3B-D54A-ADB5-4E9E59886DA0}" type="CELLRANGE">
                      <a:rPr lang="zh-CN" altLang="en-US"/>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8CF7-B544-8407-A1E01FB93D7C}"/>
                </c:ext>
              </c:extLst>
            </c:dLbl>
            <c:dLbl>
              <c:idx val="7"/>
              <c:tx>
                <c:rich>
                  <a:bodyPr/>
                  <a:lstStyle/>
                  <a:p>
                    <a:fld id="{D1FD6BD3-F2D5-7D41-B6B6-B40635823BD8}" type="CELLRANGE">
                      <a:rPr lang="zh-CN" altLang="en-US"/>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8CF7-B544-8407-A1E01FB93D7C}"/>
                </c:ext>
              </c:extLst>
            </c:dLbl>
            <c:dLbl>
              <c:idx val="8"/>
              <c:tx>
                <c:rich>
                  <a:bodyPr/>
                  <a:lstStyle/>
                  <a:p>
                    <a:fld id="{31E920CB-341F-2E42-A202-EC35CCC2C133}" type="CELLRANGE">
                      <a:rPr lang="zh-CN" altLang="en-US"/>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8CF7-B544-8407-A1E01FB93D7C}"/>
                </c:ext>
              </c:extLst>
            </c:dLbl>
            <c:dLbl>
              <c:idx val="9"/>
              <c:tx>
                <c:rich>
                  <a:bodyPr/>
                  <a:lstStyle/>
                  <a:p>
                    <a:fld id="{254AF7EE-0303-104B-8CEC-84077717A7BE}" type="CELLRANGE">
                      <a:rPr lang="zh-CN" altLang="en-US"/>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8CF7-B544-8407-A1E01FB93D7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zh-CN"/>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0"/>
            <c:plus>
              <c:numLit>
                <c:formatCode>General</c:formatCode>
                <c:ptCount val="1"/>
                <c:pt idx="0">
                  <c:v>1</c:v>
                </c:pt>
              </c:numLit>
            </c:plus>
            <c:minus>
              <c:numRef>
                <c:f>虚拟法!$B$2:$B$11</c:f>
                <c:numCache>
                  <c:formatCode>General</c:formatCode>
                  <c:ptCount val="10"/>
                  <c:pt idx="0">
                    <c:v>1</c:v>
                  </c:pt>
                  <c:pt idx="1">
                    <c:v>5</c:v>
                  </c:pt>
                  <c:pt idx="2">
                    <c:v>3</c:v>
                  </c:pt>
                  <c:pt idx="3">
                    <c:v>1</c:v>
                  </c:pt>
                  <c:pt idx="4">
                    <c:v>5</c:v>
                  </c:pt>
                  <c:pt idx="5">
                    <c:v>7</c:v>
                  </c:pt>
                  <c:pt idx="6">
                    <c:v>3</c:v>
                  </c:pt>
                  <c:pt idx="7">
                    <c:v>6</c:v>
                  </c:pt>
                  <c:pt idx="8">
                    <c:v>2</c:v>
                  </c:pt>
                  <c:pt idx="9">
                    <c:v>4</c:v>
                  </c:pt>
                </c:numCache>
              </c:numRef>
            </c:minus>
            <c:spPr>
              <a:noFill/>
              <a:ln w="9525" cap="flat" cmpd="sng" algn="ctr">
                <a:gradFill>
                  <a:gsLst>
                    <a:gs pos="0">
                      <a:schemeClr val="tx2"/>
                    </a:gs>
                    <a:gs pos="100000">
                      <a:schemeClr val="accent1">
                        <a:lumMod val="30000"/>
                        <a:lumOff val="70000"/>
                      </a:schemeClr>
                    </a:gs>
                  </a:gsLst>
                  <a:lin ang="5400000" scaled="1"/>
                </a:gradFill>
                <a:round/>
              </a:ln>
              <a:effectLst/>
            </c:spPr>
          </c:errBars>
          <c:xVal>
            <c:strRef>
              <c:f>虚拟法!$A$2:$A$11</c:f>
              <c:strCache>
                <c:ptCount val="10"/>
                <c:pt idx="0">
                  <c:v>1月 金山云与马上消费金融达成战略合作 共缔金融生态圈</c:v>
                </c:pt>
                <c:pt idx="1">
                  <c:v>2月 IDC：金山云稳居2019 Q3 中国公有云互联网前三</c:v>
                </c:pt>
                <c:pt idx="2">
                  <c:v>3月 金山云边缘计算助力爱奇艺，冲进30毫秒高速区</c:v>
                </c:pt>
                <c:pt idx="3">
                  <c:v>3月 金山云直播加速产品入围“科技冬奥、智慧北京”十佳名单</c:v>
                </c:pt>
                <c:pt idx="4">
                  <c:v>3月 数字化助力，“新基建”蓝图初显</c:v>
                </c:pt>
                <c:pt idx="5">
                  <c:v>5月 金山云纳斯达克敲钟上市 不负时代的机遇</c:v>
                </c:pt>
                <c:pt idx="6">
                  <c:v>5月 金山云上市首日股价涨超40％ 迎来高光时刻</c:v>
                </c:pt>
                <c:pt idx="7">
                  <c:v>5月 “All in”云服务 金山云登陆纳斯达克</c:v>
                </c:pt>
                <c:pt idx="8">
                  <c:v>6月 一图看懂金山云2020年Q1财报</c:v>
                </c:pt>
                <c:pt idx="9">
                  <c:v>7月 首批！金山云获得可信金融云解决方案认证</c:v>
                </c:pt>
              </c:strCache>
            </c:strRef>
          </c:xVal>
          <c:yVal>
            <c:numRef>
              <c:f>虚拟法!$B$2:$B$11</c:f>
              <c:numCache>
                <c:formatCode>General</c:formatCode>
                <c:ptCount val="10"/>
                <c:pt idx="0">
                  <c:v>1</c:v>
                </c:pt>
                <c:pt idx="1">
                  <c:v>5</c:v>
                </c:pt>
                <c:pt idx="2">
                  <c:v>3</c:v>
                </c:pt>
                <c:pt idx="3">
                  <c:v>1</c:v>
                </c:pt>
                <c:pt idx="4">
                  <c:v>5</c:v>
                </c:pt>
                <c:pt idx="5">
                  <c:v>7</c:v>
                </c:pt>
                <c:pt idx="6">
                  <c:v>3</c:v>
                </c:pt>
                <c:pt idx="7">
                  <c:v>6</c:v>
                </c:pt>
                <c:pt idx="8">
                  <c:v>2</c:v>
                </c:pt>
                <c:pt idx="9">
                  <c:v>4</c:v>
                </c:pt>
              </c:numCache>
            </c:numRef>
          </c:yVal>
          <c:smooth val="0"/>
          <c:extLst>
            <c:ext xmlns:c15="http://schemas.microsoft.com/office/drawing/2012/chart" uri="{02D57815-91ED-43cb-92C2-25804820EDAC}">
              <c15:datalabelsRange>
                <c15:f>虚拟法!$A$2:$A$11</c15:f>
                <c15:dlblRangeCache>
                  <c:ptCount val="10"/>
                  <c:pt idx="0">
                    <c:v>1月 金山云与马上消费金融达成战略合作 共缔金融生态圈</c:v>
                  </c:pt>
                  <c:pt idx="1">
                    <c:v>2月 IDC：金山云稳居2019 Q3 中国公有云互联网前三</c:v>
                  </c:pt>
                  <c:pt idx="2">
                    <c:v>3月 金山云边缘计算助力爱奇艺，冲进30毫秒高速区</c:v>
                  </c:pt>
                  <c:pt idx="3">
                    <c:v>3月 金山云直播加速产品入围“科技冬奥、智慧北京”十佳名单</c:v>
                  </c:pt>
                  <c:pt idx="4">
                    <c:v>3月 数字化助力，“新基建”蓝图初显</c:v>
                  </c:pt>
                  <c:pt idx="5">
                    <c:v>5月 金山云纳斯达克敲钟上市 不负时代的机遇</c:v>
                  </c:pt>
                  <c:pt idx="6">
                    <c:v>5月 金山云上市首日股价涨超40％ 迎来高光时刻</c:v>
                  </c:pt>
                  <c:pt idx="7">
                    <c:v>5月 “All in”云服务 金山云登陆纳斯达克</c:v>
                  </c:pt>
                  <c:pt idx="8">
                    <c:v>6月 一图看懂金山云2020年Q1财报</c:v>
                  </c:pt>
                  <c:pt idx="9">
                    <c:v>7月 首批！金山云获得可信金融云解决方案认证</c:v>
                  </c:pt>
                </c15:dlblRangeCache>
              </c15:datalabelsRange>
            </c:ext>
            <c:ext xmlns:c16="http://schemas.microsoft.com/office/drawing/2014/chart" uri="{C3380CC4-5D6E-409C-BE32-E72D297353CC}">
              <c16:uniqueId val="{00000000-8CF7-B544-8407-A1E01FB93D7C}"/>
            </c:ext>
          </c:extLst>
        </c:ser>
        <c:dLbls>
          <c:showLegendKey val="0"/>
          <c:showVal val="0"/>
          <c:showCatName val="0"/>
          <c:showSerName val="0"/>
          <c:showPercent val="0"/>
          <c:showBubbleSize val="0"/>
        </c:dLbls>
        <c:axId val="1961941568"/>
        <c:axId val="1962914944"/>
      </c:scatterChart>
      <c:valAx>
        <c:axId val="1961941568"/>
        <c:scaling>
          <c:orientation val="minMax"/>
        </c:scaling>
        <c:delete val="1"/>
        <c:axPos val="b"/>
        <c:majorTickMark val="none"/>
        <c:minorTickMark val="none"/>
        <c:tickLblPos val="nextTo"/>
        <c:crossAx val="1962914944"/>
        <c:crosses val="autoZero"/>
        <c:crossBetween val="midCat"/>
      </c:valAx>
      <c:valAx>
        <c:axId val="1962914944"/>
        <c:scaling>
          <c:orientation val="minMax"/>
        </c:scaling>
        <c:delete val="1"/>
        <c:axPos val="l"/>
        <c:numFmt formatCode="General" sourceLinked="1"/>
        <c:majorTickMark val="none"/>
        <c:minorTickMark val="none"/>
        <c:tickLblPos val="nextTo"/>
        <c:crossAx val="19619415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虚拟法!$B$46</c:f>
              <c:strCache>
                <c:ptCount val="1"/>
                <c:pt idx="0">
                  <c:v>成本</c:v>
                </c:pt>
              </c:strCache>
            </c:strRef>
          </c:tx>
          <c:spPr>
            <a:ln w="19050" cap="rnd">
              <a:solidFill>
                <a:schemeClr val="accent1"/>
              </a:solidFill>
              <a:round/>
            </a:ln>
            <a:effectLst/>
          </c:spPr>
          <c:marker>
            <c:symbol val="none"/>
          </c:marker>
          <c:xVal>
            <c:numRef>
              <c:f>虚拟法!$A$47:$A$67</c:f>
              <c:numCache>
                <c:formatCode>General</c:formatCode>
                <c:ptCount val="21"/>
                <c:pt idx="0">
                  <c:v>0</c:v>
                </c:pt>
                <c:pt idx="1">
                  <c:v>2500</c:v>
                </c:pt>
                <c:pt idx="2">
                  <c:v>5000</c:v>
                </c:pt>
                <c:pt idx="3">
                  <c:v>7500</c:v>
                </c:pt>
                <c:pt idx="4">
                  <c:v>10000</c:v>
                </c:pt>
                <c:pt idx="5">
                  <c:v>12500</c:v>
                </c:pt>
                <c:pt idx="6">
                  <c:v>15000</c:v>
                </c:pt>
                <c:pt idx="7">
                  <c:v>17500</c:v>
                </c:pt>
                <c:pt idx="8">
                  <c:v>20000</c:v>
                </c:pt>
                <c:pt idx="9">
                  <c:v>22500</c:v>
                </c:pt>
                <c:pt idx="10">
                  <c:v>25000</c:v>
                </c:pt>
                <c:pt idx="11">
                  <c:v>27500</c:v>
                </c:pt>
                <c:pt idx="12">
                  <c:v>30000</c:v>
                </c:pt>
                <c:pt idx="13">
                  <c:v>32500</c:v>
                </c:pt>
                <c:pt idx="14">
                  <c:v>35000</c:v>
                </c:pt>
                <c:pt idx="15">
                  <c:v>37500</c:v>
                </c:pt>
                <c:pt idx="16">
                  <c:v>40000</c:v>
                </c:pt>
                <c:pt idx="17">
                  <c:v>42500</c:v>
                </c:pt>
                <c:pt idx="18">
                  <c:v>45000</c:v>
                </c:pt>
                <c:pt idx="19">
                  <c:v>47500</c:v>
                </c:pt>
                <c:pt idx="20">
                  <c:v>50000</c:v>
                </c:pt>
              </c:numCache>
            </c:numRef>
          </c:xVal>
          <c:yVal>
            <c:numRef>
              <c:f>虚拟法!$B$47:$B$67</c:f>
              <c:numCache>
                <c:formatCode>General</c:formatCode>
                <c:ptCount val="21"/>
                <c:pt idx="0">
                  <c:v>1000000</c:v>
                </c:pt>
                <c:pt idx="1">
                  <c:v>1130000</c:v>
                </c:pt>
                <c:pt idx="2">
                  <c:v>1260000</c:v>
                </c:pt>
                <c:pt idx="3">
                  <c:v>1390000</c:v>
                </c:pt>
                <c:pt idx="4">
                  <c:v>1520000</c:v>
                </c:pt>
                <c:pt idx="5">
                  <c:v>1650000</c:v>
                </c:pt>
                <c:pt idx="6">
                  <c:v>1780000</c:v>
                </c:pt>
                <c:pt idx="7">
                  <c:v>1910000</c:v>
                </c:pt>
                <c:pt idx="8">
                  <c:v>2040000</c:v>
                </c:pt>
                <c:pt idx="9">
                  <c:v>2170000</c:v>
                </c:pt>
                <c:pt idx="10">
                  <c:v>2300000</c:v>
                </c:pt>
                <c:pt idx="11">
                  <c:v>2430000</c:v>
                </c:pt>
                <c:pt idx="12">
                  <c:v>2560000</c:v>
                </c:pt>
                <c:pt idx="13">
                  <c:v>2690000</c:v>
                </c:pt>
                <c:pt idx="14">
                  <c:v>2820000</c:v>
                </c:pt>
                <c:pt idx="15">
                  <c:v>2950000</c:v>
                </c:pt>
                <c:pt idx="16">
                  <c:v>3080000</c:v>
                </c:pt>
                <c:pt idx="17">
                  <c:v>3210000</c:v>
                </c:pt>
                <c:pt idx="18">
                  <c:v>3340000</c:v>
                </c:pt>
                <c:pt idx="19">
                  <c:v>3470000</c:v>
                </c:pt>
                <c:pt idx="20">
                  <c:v>3600000</c:v>
                </c:pt>
              </c:numCache>
            </c:numRef>
          </c:yVal>
          <c:smooth val="0"/>
          <c:extLst>
            <c:ext xmlns:c16="http://schemas.microsoft.com/office/drawing/2014/chart" uri="{C3380CC4-5D6E-409C-BE32-E72D297353CC}">
              <c16:uniqueId val="{00000000-88CD-A340-BC77-CA84598E4855}"/>
            </c:ext>
          </c:extLst>
        </c:ser>
        <c:ser>
          <c:idx val="1"/>
          <c:order val="1"/>
          <c:tx>
            <c:strRef>
              <c:f>虚拟法!$C$46</c:f>
              <c:strCache>
                <c:ptCount val="1"/>
                <c:pt idx="0">
                  <c:v>销售额</c:v>
                </c:pt>
              </c:strCache>
            </c:strRef>
          </c:tx>
          <c:spPr>
            <a:ln w="19050" cap="rnd">
              <a:solidFill>
                <a:schemeClr val="accent2"/>
              </a:solidFill>
              <a:round/>
            </a:ln>
            <a:effectLst/>
          </c:spPr>
          <c:marker>
            <c:symbol val="none"/>
          </c:marker>
          <c:xVal>
            <c:numRef>
              <c:f>虚拟法!$A$47:$A$67</c:f>
              <c:numCache>
                <c:formatCode>General</c:formatCode>
                <c:ptCount val="21"/>
                <c:pt idx="0">
                  <c:v>0</c:v>
                </c:pt>
                <c:pt idx="1">
                  <c:v>2500</c:v>
                </c:pt>
                <c:pt idx="2">
                  <c:v>5000</c:v>
                </c:pt>
                <c:pt idx="3">
                  <c:v>7500</c:v>
                </c:pt>
                <c:pt idx="4">
                  <c:v>10000</c:v>
                </c:pt>
                <c:pt idx="5">
                  <c:v>12500</c:v>
                </c:pt>
                <c:pt idx="6">
                  <c:v>15000</c:v>
                </c:pt>
                <c:pt idx="7">
                  <c:v>17500</c:v>
                </c:pt>
                <c:pt idx="8">
                  <c:v>20000</c:v>
                </c:pt>
                <c:pt idx="9">
                  <c:v>22500</c:v>
                </c:pt>
                <c:pt idx="10">
                  <c:v>25000</c:v>
                </c:pt>
                <c:pt idx="11">
                  <c:v>27500</c:v>
                </c:pt>
                <c:pt idx="12">
                  <c:v>30000</c:v>
                </c:pt>
                <c:pt idx="13">
                  <c:v>32500</c:v>
                </c:pt>
                <c:pt idx="14">
                  <c:v>35000</c:v>
                </c:pt>
                <c:pt idx="15">
                  <c:v>37500</c:v>
                </c:pt>
                <c:pt idx="16">
                  <c:v>40000</c:v>
                </c:pt>
                <c:pt idx="17">
                  <c:v>42500</c:v>
                </c:pt>
                <c:pt idx="18">
                  <c:v>45000</c:v>
                </c:pt>
                <c:pt idx="19">
                  <c:v>47500</c:v>
                </c:pt>
                <c:pt idx="20">
                  <c:v>50000</c:v>
                </c:pt>
              </c:numCache>
            </c:numRef>
          </c:xVal>
          <c:yVal>
            <c:numRef>
              <c:f>虚拟法!$C$47:$C$67</c:f>
              <c:numCache>
                <c:formatCode>General</c:formatCode>
                <c:ptCount val="21"/>
                <c:pt idx="0">
                  <c:v>0</c:v>
                </c:pt>
                <c:pt idx="1">
                  <c:v>217500</c:v>
                </c:pt>
                <c:pt idx="2">
                  <c:v>435000</c:v>
                </c:pt>
                <c:pt idx="3">
                  <c:v>652500</c:v>
                </c:pt>
                <c:pt idx="4">
                  <c:v>870000</c:v>
                </c:pt>
                <c:pt idx="5">
                  <c:v>1087500</c:v>
                </c:pt>
                <c:pt idx="6">
                  <c:v>1305000</c:v>
                </c:pt>
                <c:pt idx="7">
                  <c:v>1522500</c:v>
                </c:pt>
                <c:pt idx="8">
                  <c:v>1740000</c:v>
                </c:pt>
                <c:pt idx="9">
                  <c:v>1957500</c:v>
                </c:pt>
                <c:pt idx="10">
                  <c:v>2175000</c:v>
                </c:pt>
                <c:pt idx="11">
                  <c:v>2392500</c:v>
                </c:pt>
                <c:pt idx="12">
                  <c:v>2610000</c:v>
                </c:pt>
                <c:pt idx="13">
                  <c:v>2827500</c:v>
                </c:pt>
                <c:pt idx="14">
                  <c:v>3045000</c:v>
                </c:pt>
                <c:pt idx="15">
                  <c:v>3262500</c:v>
                </c:pt>
                <c:pt idx="16">
                  <c:v>3480000</c:v>
                </c:pt>
                <c:pt idx="17">
                  <c:v>3697500</c:v>
                </c:pt>
                <c:pt idx="18">
                  <c:v>3915000</c:v>
                </c:pt>
                <c:pt idx="19">
                  <c:v>4132500</c:v>
                </c:pt>
                <c:pt idx="20">
                  <c:v>4350000</c:v>
                </c:pt>
              </c:numCache>
            </c:numRef>
          </c:yVal>
          <c:smooth val="0"/>
          <c:extLst>
            <c:ext xmlns:c16="http://schemas.microsoft.com/office/drawing/2014/chart" uri="{C3380CC4-5D6E-409C-BE32-E72D297353CC}">
              <c16:uniqueId val="{00000001-88CD-A340-BC77-CA84598E4855}"/>
            </c:ext>
          </c:extLst>
        </c:ser>
        <c:ser>
          <c:idx val="2"/>
          <c:order val="2"/>
          <c:tx>
            <c:strRef>
              <c:f>虚拟法!$D$46</c:f>
              <c:strCache>
                <c:ptCount val="1"/>
                <c:pt idx="0">
                  <c:v>利润</c:v>
                </c:pt>
              </c:strCache>
            </c:strRef>
          </c:tx>
          <c:spPr>
            <a:ln w="19050" cap="rnd">
              <a:solidFill>
                <a:schemeClr val="accent3"/>
              </a:solidFill>
              <a:round/>
            </a:ln>
            <a:effectLst/>
          </c:spPr>
          <c:marker>
            <c:symbol val="none"/>
          </c:marker>
          <c:xVal>
            <c:numRef>
              <c:f>虚拟法!$A$47:$A$67</c:f>
              <c:numCache>
                <c:formatCode>General</c:formatCode>
                <c:ptCount val="21"/>
                <c:pt idx="0">
                  <c:v>0</c:v>
                </c:pt>
                <c:pt idx="1">
                  <c:v>2500</c:v>
                </c:pt>
                <c:pt idx="2">
                  <c:v>5000</c:v>
                </c:pt>
                <c:pt idx="3">
                  <c:v>7500</c:v>
                </c:pt>
                <c:pt idx="4">
                  <c:v>10000</c:v>
                </c:pt>
                <c:pt idx="5">
                  <c:v>12500</c:v>
                </c:pt>
                <c:pt idx="6">
                  <c:v>15000</c:v>
                </c:pt>
                <c:pt idx="7">
                  <c:v>17500</c:v>
                </c:pt>
                <c:pt idx="8">
                  <c:v>20000</c:v>
                </c:pt>
                <c:pt idx="9">
                  <c:v>22500</c:v>
                </c:pt>
                <c:pt idx="10">
                  <c:v>25000</c:v>
                </c:pt>
                <c:pt idx="11">
                  <c:v>27500</c:v>
                </c:pt>
                <c:pt idx="12">
                  <c:v>30000</c:v>
                </c:pt>
                <c:pt idx="13">
                  <c:v>32500</c:v>
                </c:pt>
                <c:pt idx="14">
                  <c:v>35000</c:v>
                </c:pt>
                <c:pt idx="15">
                  <c:v>37500</c:v>
                </c:pt>
                <c:pt idx="16">
                  <c:v>40000</c:v>
                </c:pt>
                <c:pt idx="17">
                  <c:v>42500</c:v>
                </c:pt>
                <c:pt idx="18">
                  <c:v>45000</c:v>
                </c:pt>
                <c:pt idx="19">
                  <c:v>47500</c:v>
                </c:pt>
                <c:pt idx="20">
                  <c:v>50000</c:v>
                </c:pt>
              </c:numCache>
            </c:numRef>
          </c:xVal>
          <c:yVal>
            <c:numRef>
              <c:f>虚拟法!$D$47:$D$67</c:f>
              <c:numCache>
                <c:formatCode>General</c:formatCode>
                <c:ptCount val="21"/>
                <c:pt idx="0">
                  <c:v>-1000000</c:v>
                </c:pt>
                <c:pt idx="1">
                  <c:v>-912500</c:v>
                </c:pt>
                <c:pt idx="2">
                  <c:v>-825000</c:v>
                </c:pt>
                <c:pt idx="3">
                  <c:v>-737500</c:v>
                </c:pt>
                <c:pt idx="4">
                  <c:v>-650000</c:v>
                </c:pt>
                <c:pt idx="5">
                  <c:v>-562500</c:v>
                </c:pt>
                <c:pt idx="6">
                  <c:v>-475000</c:v>
                </c:pt>
                <c:pt idx="7">
                  <c:v>-387500</c:v>
                </c:pt>
                <c:pt idx="8">
                  <c:v>-300000</c:v>
                </c:pt>
                <c:pt idx="9">
                  <c:v>-212500</c:v>
                </c:pt>
                <c:pt idx="10">
                  <c:v>-125000</c:v>
                </c:pt>
                <c:pt idx="11">
                  <c:v>-37500</c:v>
                </c:pt>
                <c:pt idx="12">
                  <c:v>50000</c:v>
                </c:pt>
                <c:pt idx="13">
                  <c:v>137500</c:v>
                </c:pt>
                <c:pt idx="14">
                  <c:v>225000</c:v>
                </c:pt>
                <c:pt idx="15">
                  <c:v>312500</c:v>
                </c:pt>
                <c:pt idx="16">
                  <c:v>400000</c:v>
                </c:pt>
                <c:pt idx="17">
                  <c:v>487500</c:v>
                </c:pt>
                <c:pt idx="18">
                  <c:v>575000</c:v>
                </c:pt>
                <c:pt idx="19">
                  <c:v>662500</c:v>
                </c:pt>
                <c:pt idx="20">
                  <c:v>750000</c:v>
                </c:pt>
              </c:numCache>
            </c:numRef>
          </c:yVal>
          <c:smooth val="0"/>
          <c:extLst>
            <c:ext xmlns:c16="http://schemas.microsoft.com/office/drawing/2014/chart" uri="{C3380CC4-5D6E-409C-BE32-E72D297353CC}">
              <c16:uniqueId val="{00000002-88CD-A340-BC77-CA84598E4855}"/>
            </c:ext>
          </c:extLst>
        </c:ser>
        <c:ser>
          <c:idx val="3"/>
          <c:order val="3"/>
          <c:tx>
            <c:v>平衡点产量</c:v>
          </c:tx>
          <c:spPr>
            <a:ln w="19050" cap="rnd">
              <a:solidFill>
                <a:schemeClr val="accent4"/>
              </a:solidFill>
              <a:round/>
            </a:ln>
            <a:effectLst>
              <a:outerShdw blurRad="50800" dist="38100" dir="5400000" algn="t" rotWithShape="0">
                <a:prstClr val="black">
                  <a:alpha val="40000"/>
                </a:prstClr>
              </a:outerShdw>
            </a:effectLst>
          </c:spPr>
          <c:marker>
            <c:symbol val="circle"/>
            <c:size val="8"/>
            <c:spPr>
              <a:noFill/>
              <a:ln w="34925">
                <a:solidFill>
                  <a:srgbClr val="C00000"/>
                </a:solidFill>
              </a:ln>
              <a:effectLst>
                <a:outerShdw blurRad="50800" dist="38100" dir="5400000" algn="t" rotWithShape="0">
                  <a:prstClr val="black">
                    <a:alpha val="40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zh-CN"/>
              </a:p>
            </c:txPr>
            <c:dLblPos val="t"/>
            <c:showLegendKey val="0"/>
            <c:showVal val="0"/>
            <c:showCatName val="1"/>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cust"/>
            <c:noEndCap val="0"/>
            <c:plus>
              <c:numRef>
                <c:f>虚拟法!$D$44</c:f>
                <c:numCache>
                  <c:formatCode>General</c:formatCode>
                  <c:ptCount val="1"/>
                  <c:pt idx="0">
                    <c:v>2514285.7142857141</c:v>
                  </c:pt>
                </c:numCache>
              </c:numRef>
            </c:plus>
            <c:minus>
              <c:numRef>
                <c:f>虚拟法!$C$44</c:f>
                <c:numCache>
                  <c:formatCode>General</c:formatCode>
                  <c:ptCount val="1"/>
                  <c:pt idx="0">
                    <c:v>2485714.2857142859</c:v>
                  </c:pt>
                </c:numCache>
              </c:numRef>
            </c:minus>
            <c:spPr>
              <a:noFill/>
              <a:ln w="9525" cap="flat" cmpd="sng" algn="ctr">
                <a:solidFill>
                  <a:schemeClr val="tx1">
                    <a:lumMod val="65000"/>
                    <a:lumOff val="35000"/>
                  </a:schemeClr>
                </a:solidFill>
                <a:round/>
              </a:ln>
              <a:effectLst/>
            </c:spPr>
          </c:errBars>
          <c:xVal>
            <c:numRef>
              <c:f>虚拟法!$B$44</c:f>
              <c:numCache>
                <c:formatCode>0</c:formatCode>
                <c:ptCount val="1"/>
                <c:pt idx="0">
                  <c:v>28571.428571428572</c:v>
                </c:pt>
              </c:numCache>
            </c:numRef>
          </c:xVal>
          <c:yVal>
            <c:numRef>
              <c:f>虚拟法!$C$44</c:f>
              <c:numCache>
                <c:formatCode>0</c:formatCode>
                <c:ptCount val="1"/>
                <c:pt idx="0">
                  <c:v>2485714.2857142859</c:v>
                </c:pt>
              </c:numCache>
            </c:numRef>
          </c:yVal>
          <c:smooth val="0"/>
          <c:extLst>
            <c:ext xmlns:c16="http://schemas.microsoft.com/office/drawing/2014/chart" uri="{C3380CC4-5D6E-409C-BE32-E72D297353CC}">
              <c16:uniqueId val="{00000003-88CD-A340-BC77-CA84598E4855}"/>
            </c:ext>
          </c:extLst>
        </c:ser>
        <c:ser>
          <c:idx val="4"/>
          <c:order val="4"/>
          <c:tx>
            <c:v>最大利润</c:v>
          </c:tx>
          <c:spPr>
            <a:ln w="19050" cap="rnd">
              <a:solidFill>
                <a:schemeClr val="accent5"/>
              </a:solidFill>
              <a:round/>
            </a:ln>
            <a:effectLst>
              <a:outerShdw blurRad="50800" dist="38100" dir="5400000" algn="t" rotWithShape="0">
                <a:prstClr val="black">
                  <a:alpha val="40000"/>
                </a:prstClr>
              </a:outerShdw>
            </a:effectLst>
          </c:spPr>
          <c:marker>
            <c:symbol val="circle"/>
            <c:size val="8"/>
            <c:spPr>
              <a:noFill/>
              <a:ln w="31750">
                <a:solidFill>
                  <a:srgbClr val="C00000"/>
                </a:solidFill>
              </a:ln>
              <a:effectLst>
                <a:outerShdw blurRad="50800" dist="38100" dir="5400000" algn="t" rotWithShape="0">
                  <a:prstClr val="black">
                    <a:alpha val="40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zh-CN"/>
              </a:p>
            </c:txPr>
            <c:dLblPos val="t"/>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虚拟法!$A$67</c:f>
              <c:numCache>
                <c:formatCode>General</c:formatCode>
                <c:ptCount val="1"/>
                <c:pt idx="0">
                  <c:v>50000</c:v>
                </c:pt>
              </c:numCache>
            </c:numRef>
          </c:xVal>
          <c:yVal>
            <c:numRef>
              <c:f>虚拟法!$D$67</c:f>
              <c:numCache>
                <c:formatCode>General</c:formatCode>
                <c:ptCount val="1"/>
                <c:pt idx="0">
                  <c:v>750000</c:v>
                </c:pt>
              </c:numCache>
            </c:numRef>
          </c:yVal>
          <c:smooth val="0"/>
          <c:extLst>
            <c:ext xmlns:c16="http://schemas.microsoft.com/office/drawing/2014/chart" uri="{C3380CC4-5D6E-409C-BE32-E72D297353CC}">
              <c16:uniqueId val="{00000004-88CD-A340-BC77-CA84598E4855}"/>
            </c:ext>
          </c:extLst>
        </c:ser>
        <c:dLbls>
          <c:showLegendKey val="0"/>
          <c:showVal val="0"/>
          <c:showCatName val="0"/>
          <c:showSerName val="0"/>
          <c:showPercent val="0"/>
          <c:showBubbleSize val="0"/>
        </c:dLbls>
        <c:axId val="1965592512"/>
        <c:axId val="1965597888"/>
      </c:scatterChart>
      <c:valAx>
        <c:axId val="196559251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965597888"/>
        <c:crosses val="autoZero"/>
        <c:crossBetween val="midCat"/>
      </c:valAx>
      <c:valAx>
        <c:axId val="1965597888"/>
        <c:scaling>
          <c:orientation val="minMax"/>
          <c:max val="5000000"/>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96559251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880520369736392"/>
          <c:y val="2.6755852842809364E-2"/>
          <c:w val="0.87119479630263608"/>
          <c:h val="0.88324994074737317"/>
        </c:manualLayout>
      </c:layout>
      <c:lineChart>
        <c:grouping val="standard"/>
        <c:varyColors val="0"/>
        <c:ser>
          <c:idx val="0"/>
          <c:order val="0"/>
          <c:tx>
            <c:strRef>
              <c:f>误差法!$B$1</c:f>
              <c:strCache>
                <c:ptCount val="1"/>
                <c:pt idx="0">
                  <c:v>销售</c:v>
                </c:pt>
              </c:strCache>
            </c:strRef>
          </c:tx>
          <c:spPr>
            <a:ln w="28575" cap="rnd">
              <a:noFill/>
              <a:round/>
            </a:ln>
            <a:effectLst/>
          </c:spPr>
          <c:marker>
            <c:symbol val="none"/>
          </c:marker>
          <c:cat>
            <c:strRef>
              <c:f>误差法!$A$2:$A$7</c:f>
              <c:strCache>
                <c:ptCount val="6"/>
                <c:pt idx="0">
                  <c:v>1月</c:v>
                </c:pt>
                <c:pt idx="1">
                  <c:v>2月</c:v>
                </c:pt>
                <c:pt idx="2">
                  <c:v>3月</c:v>
                </c:pt>
                <c:pt idx="3">
                  <c:v>4月</c:v>
                </c:pt>
                <c:pt idx="4">
                  <c:v>5月</c:v>
                </c:pt>
                <c:pt idx="5">
                  <c:v>6月</c:v>
                </c:pt>
              </c:strCache>
            </c:strRef>
          </c:cat>
          <c:val>
            <c:numRef>
              <c:f>误差法!$B$2:$B$7</c:f>
              <c:numCache>
                <c:formatCode>General</c:formatCode>
                <c:ptCount val="6"/>
                <c:pt idx="0">
                  <c:v>1074700.5043819037</c:v>
                </c:pt>
                <c:pt idx="1">
                  <c:v>2471461.0518247653</c:v>
                </c:pt>
                <c:pt idx="2">
                  <c:v>1013848.8790686589</c:v>
                </c:pt>
                <c:pt idx="3">
                  <c:v>2836458.3911607056</c:v>
                </c:pt>
                <c:pt idx="4">
                  <c:v>2356724.565061931</c:v>
                </c:pt>
                <c:pt idx="5">
                  <c:v>1747388.0239122179</c:v>
                </c:pt>
              </c:numCache>
            </c:numRef>
          </c:val>
          <c:smooth val="0"/>
          <c:extLst>
            <c:ext xmlns:c16="http://schemas.microsoft.com/office/drawing/2014/chart" uri="{C3380CC4-5D6E-409C-BE32-E72D297353CC}">
              <c16:uniqueId val="{00000000-E4E3-6C47-BDC0-38C978185B3D}"/>
            </c:ext>
          </c:extLst>
        </c:ser>
        <c:dLbls>
          <c:showLegendKey val="0"/>
          <c:showVal val="0"/>
          <c:showCatName val="0"/>
          <c:showSerName val="0"/>
          <c:showPercent val="0"/>
          <c:showBubbleSize val="0"/>
        </c:dLbls>
        <c:marker val="1"/>
        <c:smooth val="0"/>
        <c:axId val="2072382976"/>
        <c:axId val="2072385664"/>
      </c:lineChart>
      <c:scatterChart>
        <c:scatterStyle val="lineMarker"/>
        <c:varyColors val="0"/>
        <c:ser>
          <c:idx val="1"/>
          <c:order val="1"/>
          <c:tx>
            <c:v>销售散点</c:v>
          </c:tx>
          <c:spPr>
            <a:ln w="25400" cap="rnd">
              <a:solidFill>
                <a:schemeClr val="tx2"/>
              </a:solidFill>
              <a:round/>
            </a:ln>
            <a:effectLst/>
          </c:spPr>
          <c:marker>
            <c:symbol val="circle"/>
            <c:size val="6"/>
            <c:spPr>
              <a:solidFill>
                <a:schemeClr val="accent1"/>
              </a:solidFill>
              <a:ln w="9525">
                <a:noFill/>
              </a:ln>
              <a:effectLst/>
            </c:spPr>
          </c:marker>
          <c:errBars>
            <c:errDir val="x"/>
            <c:errBarType val="minus"/>
            <c:errValType val="cust"/>
            <c:noEndCap val="0"/>
            <c:plus>
              <c:numLit>
                <c:formatCode>General</c:formatCode>
                <c:ptCount val="1"/>
                <c:pt idx="0">
                  <c:v>1</c:v>
                </c:pt>
              </c:numLit>
            </c:plus>
            <c:minus>
              <c:numRef>
                <c:f>误差法!$C$2:$C$7</c:f>
                <c:numCache>
                  <c:formatCode>General</c:formatCode>
                  <c:ptCount val="6"/>
                  <c:pt idx="0">
                    <c:v>0.5</c:v>
                  </c:pt>
                  <c:pt idx="1">
                    <c:v>1.5</c:v>
                  </c:pt>
                  <c:pt idx="2">
                    <c:v>2.5</c:v>
                  </c:pt>
                  <c:pt idx="3">
                    <c:v>3.5</c:v>
                  </c:pt>
                  <c:pt idx="4">
                    <c:v>4.5</c:v>
                  </c:pt>
                  <c:pt idx="5">
                    <c:v>5.5</c:v>
                  </c:pt>
                </c:numCache>
              </c:numRef>
            </c:minus>
            <c:spPr>
              <a:noFill/>
              <a:ln w="9525" cap="flat" cmpd="sng" algn="ctr">
                <a:solidFill>
                  <a:schemeClr val="tx1">
                    <a:lumMod val="65000"/>
                    <a:lumOff val="35000"/>
                  </a:schemeClr>
                </a:solidFill>
                <a:round/>
              </a:ln>
              <a:effectLst/>
            </c:spPr>
          </c:errBars>
          <c:xVal>
            <c:strRef>
              <c:f>误差法!$A$2:$A$7</c:f>
              <c:strCache>
                <c:ptCount val="6"/>
                <c:pt idx="0">
                  <c:v>1月</c:v>
                </c:pt>
                <c:pt idx="1">
                  <c:v>2月</c:v>
                </c:pt>
                <c:pt idx="2">
                  <c:v>3月</c:v>
                </c:pt>
                <c:pt idx="3">
                  <c:v>4月</c:v>
                </c:pt>
                <c:pt idx="4">
                  <c:v>5月</c:v>
                </c:pt>
                <c:pt idx="5">
                  <c:v>6月</c:v>
                </c:pt>
              </c:strCache>
            </c:strRef>
          </c:xVal>
          <c:yVal>
            <c:numRef>
              <c:f>误差法!$B$2:$B$7</c:f>
              <c:numCache>
                <c:formatCode>General</c:formatCode>
                <c:ptCount val="6"/>
                <c:pt idx="0">
                  <c:v>1074700.5043819037</c:v>
                </c:pt>
                <c:pt idx="1">
                  <c:v>2471461.0518247653</c:v>
                </c:pt>
                <c:pt idx="2">
                  <c:v>1013848.8790686589</c:v>
                </c:pt>
                <c:pt idx="3">
                  <c:v>2836458.3911607056</c:v>
                </c:pt>
                <c:pt idx="4">
                  <c:v>2356724.565061931</c:v>
                </c:pt>
                <c:pt idx="5">
                  <c:v>1747388.0239122179</c:v>
                </c:pt>
              </c:numCache>
            </c:numRef>
          </c:yVal>
          <c:smooth val="0"/>
          <c:extLst>
            <c:ext xmlns:c16="http://schemas.microsoft.com/office/drawing/2014/chart" uri="{C3380CC4-5D6E-409C-BE32-E72D297353CC}">
              <c16:uniqueId val="{00000001-E4E3-6C47-BDC0-38C978185B3D}"/>
            </c:ext>
          </c:extLst>
        </c:ser>
        <c:dLbls>
          <c:showLegendKey val="0"/>
          <c:showVal val="0"/>
          <c:showCatName val="0"/>
          <c:showSerName val="0"/>
          <c:showPercent val="0"/>
          <c:showBubbleSize val="0"/>
        </c:dLbls>
        <c:axId val="2072382976"/>
        <c:axId val="2072385664"/>
      </c:scatterChart>
      <c:catAx>
        <c:axId val="207238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072385664"/>
        <c:crosses val="autoZero"/>
        <c:auto val="1"/>
        <c:lblAlgn val="ctr"/>
        <c:lblOffset val="100"/>
        <c:noMultiLvlLbl val="0"/>
      </c:catAx>
      <c:valAx>
        <c:axId val="2072385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07238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v>月份轴</c:v>
          </c:tx>
          <c:spPr>
            <a:no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误差法!$A$23:$A$34</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误差法!$B$23:$B$34</c:f>
              <c:numCache>
                <c:formatCode>General</c:formatCode>
                <c:ptCount val="12"/>
                <c:pt idx="0">
                  <c:v>107</c:v>
                </c:pt>
                <c:pt idx="1">
                  <c:v>247</c:v>
                </c:pt>
                <c:pt idx="2">
                  <c:v>101</c:v>
                </c:pt>
                <c:pt idx="3">
                  <c:v>283</c:v>
                </c:pt>
                <c:pt idx="4">
                  <c:v>235</c:v>
                </c:pt>
                <c:pt idx="5">
                  <c:v>174</c:v>
                </c:pt>
                <c:pt idx="6">
                  <c:v>241</c:v>
                </c:pt>
                <c:pt idx="7">
                  <c:v>158</c:v>
                </c:pt>
                <c:pt idx="8">
                  <c:v>263</c:v>
                </c:pt>
                <c:pt idx="9">
                  <c:v>240</c:v>
                </c:pt>
                <c:pt idx="10">
                  <c:v>465</c:v>
                </c:pt>
                <c:pt idx="11">
                  <c:v>370</c:v>
                </c:pt>
              </c:numCache>
            </c:numRef>
          </c:val>
          <c:extLst>
            <c:ext xmlns:c16="http://schemas.microsoft.com/office/drawing/2014/chart" uri="{C3380CC4-5D6E-409C-BE32-E72D297353CC}">
              <c16:uniqueId val="{00000005-4429-9B4B-A6BE-8EAC7E50A46C}"/>
            </c:ext>
          </c:extLst>
        </c:ser>
        <c:dLbls>
          <c:showLegendKey val="0"/>
          <c:showVal val="0"/>
          <c:showCatName val="0"/>
          <c:showSerName val="0"/>
          <c:showPercent val="0"/>
          <c:showBubbleSize val="0"/>
        </c:dLbls>
        <c:gapWidth val="150"/>
        <c:axId val="1636246719"/>
        <c:axId val="1636252095"/>
      </c:barChart>
      <c:scatterChart>
        <c:scatterStyle val="lineMarker"/>
        <c:varyColors val="0"/>
        <c:ser>
          <c:idx val="0"/>
          <c:order val="0"/>
          <c:tx>
            <c:strRef>
              <c:f>误差法!$B$22</c:f>
              <c:strCache>
                <c:ptCount val="1"/>
                <c:pt idx="0">
                  <c:v>销售(万)</c:v>
                </c:pt>
              </c:strCache>
            </c:strRef>
          </c:tx>
          <c:spPr>
            <a:ln w="25400" cap="rnd">
              <a:noFill/>
              <a:round/>
            </a:ln>
            <a:effectLst/>
          </c:spPr>
          <c:marker>
            <c:symbol val="circle"/>
            <c:size val="5"/>
            <c:spPr>
              <a:noFill/>
              <a:ln w="9525">
                <a:noFill/>
              </a:ln>
              <a:effectLst/>
            </c:spPr>
          </c:marker>
          <c:errBars>
            <c:errDir val="y"/>
            <c:errBarType val="plus"/>
            <c:errValType val="cust"/>
            <c:noEndCap val="1"/>
            <c:plus>
              <c:numRef>
                <c:f>误差法!$C$23:$C$34</c:f>
                <c:numCache>
                  <c:formatCode>General</c:formatCode>
                  <c:ptCount val="12"/>
                  <c:pt idx="0">
                    <c:v>140</c:v>
                  </c:pt>
                  <c:pt idx="1">
                    <c:v>-146</c:v>
                  </c:pt>
                  <c:pt idx="2">
                    <c:v>182</c:v>
                  </c:pt>
                  <c:pt idx="3">
                    <c:v>-48</c:v>
                  </c:pt>
                  <c:pt idx="4">
                    <c:v>-61</c:v>
                  </c:pt>
                  <c:pt idx="5">
                    <c:v>67</c:v>
                  </c:pt>
                  <c:pt idx="6">
                    <c:v>-83</c:v>
                  </c:pt>
                  <c:pt idx="7">
                    <c:v>105</c:v>
                  </c:pt>
                  <c:pt idx="8">
                    <c:v>-23</c:v>
                  </c:pt>
                  <c:pt idx="9">
                    <c:v>225</c:v>
                  </c:pt>
                  <c:pt idx="10">
                    <c:v>-95</c:v>
                  </c:pt>
                  <c:pt idx="11">
                    <c:v>-370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errBars>
            <c:errDir val="x"/>
            <c:errBarType val="minus"/>
            <c:errValType val="fixedVal"/>
            <c:noEndCap val="1"/>
            <c:val val="1"/>
            <c:spPr>
              <a:noFill/>
              <a:ln w="9525" cap="flat" cmpd="sng" algn="ctr">
                <a:solidFill>
                  <a:schemeClr val="tx1">
                    <a:lumMod val="65000"/>
                    <a:lumOff val="35000"/>
                  </a:schemeClr>
                </a:solidFill>
                <a:round/>
              </a:ln>
              <a:effectLst/>
            </c:spPr>
          </c:errBars>
          <c:xVal>
            <c:strRef>
              <c:f>误差法!$A$23:$A$34</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xVal>
          <c:yVal>
            <c:numRef>
              <c:f>误差法!$B$23:$B$34</c:f>
              <c:numCache>
                <c:formatCode>General</c:formatCode>
                <c:ptCount val="12"/>
                <c:pt idx="0">
                  <c:v>107</c:v>
                </c:pt>
                <c:pt idx="1">
                  <c:v>247</c:v>
                </c:pt>
                <c:pt idx="2">
                  <c:v>101</c:v>
                </c:pt>
                <c:pt idx="3">
                  <c:v>283</c:v>
                </c:pt>
                <c:pt idx="4">
                  <c:v>235</c:v>
                </c:pt>
                <c:pt idx="5">
                  <c:v>174</c:v>
                </c:pt>
                <c:pt idx="6">
                  <c:v>241</c:v>
                </c:pt>
                <c:pt idx="7">
                  <c:v>158</c:v>
                </c:pt>
                <c:pt idx="8">
                  <c:v>263</c:v>
                </c:pt>
                <c:pt idx="9">
                  <c:v>240</c:v>
                </c:pt>
                <c:pt idx="10">
                  <c:v>465</c:v>
                </c:pt>
                <c:pt idx="11">
                  <c:v>370</c:v>
                </c:pt>
              </c:numCache>
            </c:numRef>
          </c:yVal>
          <c:smooth val="0"/>
          <c:extLst>
            <c:ext xmlns:c16="http://schemas.microsoft.com/office/drawing/2014/chart" uri="{C3380CC4-5D6E-409C-BE32-E72D297353CC}">
              <c16:uniqueId val="{00000000-4429-9B4B-A6BE-8EAC7E50A46C}"/>
            </c:ext>
          </c:extLst>
        </c:ser>
        <c:dLbls>
          <c:showLegendKey val="0"/>
          <c:showVal val="0"/>
          <c:showCatName val="0"/>
          <c:showSerName val="0"/>
          <c:showPercent val="0"/>
          <c:showBubbleSize val="0"/>
        </c:dLbls>
        <c:axId val="1109235839"/>
        <c:axId val="999979455"/>
      </c:scatterChart>
      <c:catAx>
        <c:axId val="1636246719"/>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636252095"/>
        <c:crosses val="autoZero"/>
        <c:auto val="1"/>
        <c:lblAlgn val="ctr"/>
        <c:lblOffset val="100"/>
        <c:noMultiLvlLbl val="0"/>
      </c:catAx>
      <c:valAx>
        <c:axId val="1636252095"/>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636246719"/>
        <c:crosses val="autoZero"/>
        <c:crossBetween val="between"/>
      </c:valAx>
      <c:valAx>
        <c:axId val="999979455"/>
        <c:scaling>
          <c:orientation val="minMax"/>
        </c:scaling>
        <c:delete val="0"/>
        <c:axPos val="r"/>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09235839"/>
        <c:crosses val="max"/>
        <c:crossBetween val="midCat"/>
      </c:valAx>
      <c:valAx>
        <c:axId val="1109235839"/>
        <c:scaling>
          <c:orientation val="minMax"/>
          <c:max val="12"/>
          <c:min val="0"/>
        </c:scaling>
        <c:delete val="0"/>
        <c:axPos val="t"/>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999979455"/>
        <c:crosses val="max"/>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误差法!$C$47</c:f>
              <c:strCache>
                <c:ptCount val="1"/>
                <c:pt idx="0">
                  <c:v>中心点位</c:v>
                </c:pt>
              </c:strCache>
            </c:strRef>
          </c:tx>
          <c:spPr>
            <a:ln w="28575" cap="rnd">
              <a:noFill/>
              <a:round/>
            </a:ln>
            <a:effectLst/>
          </c:spPr>
          <c:marker>
            <c:symbol val="none"/>
          </c:marker>
          <c:dLbls>
            <c:dLbl>
              <c:idx val="0"/>
              <c:tx>
                <c:rich>
                  <a:bodyPr/>
                  <a:lstStyle/>
                  <a:p>
                    <a:fld id="{FFB863A6-E62F-044C-83EA-947938F50E53}" type="CELLRANGE">
                      <a:rPr lang="en-US" altLang="zh-CN"/>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BF31-B74E-8964-8F6BF6A27102}"/>
                </c:ext>
              </c:extLst>
            </c:dLbl>
            <c:dLbl>
              <c:idx val="1"/>
              <c:tx>
                <c:rich>
                  <a:bodyPr/>
                  <a:lstStyle/>
                  <a:p>
                    <a:fld id="{F8064FE1-E792-F646-8DE2-FCB421310801}" type="CELLRANGE">
                      <a:rPr lang="zh-CN" altLang="en-US"/>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F31-B74E-8964-8F6BF6A27102}"/>
                </c:ext>
              </c:extLst>
            </c:dLbl>
            <c:dLbl>
              <c:idx val="2"/>
              <c:tx>
                <c:rich>
                  <a:bodyPr/>
                  <a:lstStyle/>
                  <a:p>
                    <a:fld id="{37644C7D-09A4-3348-B26B-6A4F2390394F}" type="CELLRANGE">
                      <a:rPr lang="zh-CN" altLang="en-US"/>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F31-B74E-8964-8F6BF6A27102}"/>
                </c:ext>
              </c:extLst>
            </c:dLbl>
            <c:dLbl>
              <c:idx val="3"/>
              <c:tx>
                <c:rich>
                  <a:bodyPr/>
                  <a:lstStyle/>
                  <a:p>
                    <a:fld id="{EC64FB5E-15E3-BF4E-916C-21237A64C1EC}" type="CELLRANGE">
                      <a:rPr lang="zh-CN" altLang="en-US"/>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F31-B74E-8964-8F6BF6A27102}"/>
                </c:ext>
              </c:extLst>
            </c:dLbl>
            <c:dLbl>
              <c:idx val="4"/>
              <c:tx>
                <c:rich>
                  <a:bodyPr/>
                  <a:lstStyle/>
                  <a:p>
                    <a:fld id="{80754EDC-C66A-D54C-A7D0-B2D255861DAC}" type="CELLRANGE">
                      <a:rPr lang="zh-CN" altLang="en-US"/>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F31-B74E-8964-8F6BF6A27102}"/>
                </c:ext>
              </c:extLst>
            </c:dLbl>
            <c:dLbl>
              <c:idx val="5"/>
              <c:tx>
                <c:rich>
                  <a:bodyPr/>
                  <a:lstStyle/>
                  <a:p>
                    <a:fld id="{F16A21AF-78EA-994B-912E-E46D7C88DBBB}" type="CELLRANGE">
                      <a:rPr lang="zh-CN" altLang="en-US"/>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F31-B74E-8964-8F6BF6A27102}"/>
                </c:ext>
              </c:extLst>
            </c:dLbl>
            <c:dLbl>
              <c:idx val="6"/>
              <c:tx>
                <c:rich>
                  <a:bodyPr/>
                  <a:lstStyle/>
                  <a:p>
                    <a:fld id="{E12BFA4F-2CB2-074E-9E29-751E0AA92CD1}" type="CELLRANGE">
                      <a:rPr lang="zh-CN" altLang="en-US"/>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F31-B74E-8964-8F6BF6A27102}"/>
                </c:ext>
              </c:extLst>
            </c:dLbl>
            <c:dLbl>
              <c:idx val="7"/>
              <c:tx>
                <c:rich>
                  <a:bodyPr/>
                  <a:lstStyle/>
                  <a:p>
                    <a:fld id="{87C0AD53-F15D-9A42-8A92-05B326ADCDCF}" type="CELLRANGE">
                      <a:rPr lang="zh-CN" altLang="en-US"/>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F31-B74E-8964-8F6BF6A27102}"/>
                </c:ext>
              </c:extLst>
            </c:dLbl>
            <c:dLbl>
              <c:idx val="8"/>
              <c:tx>
                <c:rich>
                  <a:bodyPr/>
                  <a:lstStyle/>
                  <a:p>
                    <a:fld id="{2597B977-A6F8-914A-B902-B3E62BFE50C0}" type="CELLRANGE">
                      <a:rPr lang="zh-CN" altLang="en-US"/>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F31-B74E-8964-8F6BF6A27102}"/>
                </c:ext>
              </c:extLst>
            </c:dLbl>
            <c:dLbl>
              <c:idx val="9"/>
              <c:tx>
                <c:rich>
                  <a:bodyPr/>
                  <a:lstStyle/>
                  <a:p>
                    <a:fld id="{1734C51C-87E3-784A-8633-73A31BFD7DB1}" type="CELLRANGE">
                      <a:rPr lang="zh-CN" altLang="en-US"/>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F31-B74E-8964-8F6BF6A27102}"/>
                </c:ext>
              </c:extLst>
            </c:dLbl>
            <c:dLbl>
              <c:idx val="10"/>
              <c:tx>
                <c:rich>
                  <a:bodyPr/>
                  <a:lstStyle/>
                  <a:p>
                    <a:fld id="{326C693D-AC8C-1E4D-A5B4-1E4D40506A91}" type="CELLRANGE">
                      <a:rPr lang="zh-CN" altLang="en-US"/>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F31-B74E-8964-8F6BF6A27102}"/>
                </c:ext>
              </c:extLst>
            </c:dLbl>
            <c:dLbl>
              <c:idx val="11"/>
              <c:tx>
                <c:rich>
                  <a:bodyPr/>
                  <a:lstStyle/>
                  <a:p>
                    <a:fld id="{E57CB049-3F7D-D548-B87F-75280EAC4065}" type="CELLRANGE">
                      <a:rPr lang="zh-CN" altLang="en-US"/>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F31-B74E-8964-8F6BF6A2710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imSun" panose="02010600030101010101" pitchFamily="2" charset="-122"/>
                    <a:ea typeface="SimSun" panose="02010600030101010101" pitchFamily="2" charset="-122"/>
                    <a:cs typeface="+mn-cs"/>
                  </a:defRPr>
                </a:pPr>
                <a:endParaRPr lang="zh-CN"/>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误差法!$A$23:$A$34</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误差法!$C$48:$C$59</c:f>
              <c:numCache>
                <c:formatCode>General</c:formatCode>
                <c:ptCount val="12"/>
                <c:pt idx="0">
                  <c:v>177</c:v>
                </c:pt>
                <c:pt idx="1">
                  <c:v>174</c:v>
                </c:pt>
                <c:pt idx="2">
                  <c:v>192</c:v>
                </c:pt>
                <c:pt idx="3">
                  <c:v>259</c:v>
                </c:pt>
                <c:pt idx="4">
                  <c:v>204.5</c:v>
                </c:pt>
                <c:pt idx="5">
                  <c:v>207.5</c:v>
                </c:pt>
                <c:pt idx="6">
                  <c:v>199.5</c:v>
                </c:pt>
                <c:pt idx="7">
                  <c:v>210.5</c:v>
                </c:pt>
                <c:pt idx="8">
                  <c:v>251.5</c:v>
                </c:pt>
                <c:pt idx="9">
                  <c:v>352.5</c:v>
                </c:pt>
                <c:pt idx="10">
                  <c:v>417.5</c:v>
                </c:pt>
                <c:pt idx="11">
                  <c:v>185</c:v>
                </c:pt>
              </c:numCache>
            </c:numRef>
          </c:val>
          <c:smooth val="0"/>
          <c:extLst>
            <c:ext xmlns:c15="http://schemas.microsoft.com/office/drawing/2012/chart" uri="{02D57815-91ED-43cb-92C2-25804820EDAC}">
              <c15:datalabelsRange>
                <c15:f>误差法!$C$23:$C$34</c15:f>
                <c15:dlblRangeCache>
                  <c:ptCount val="12"/>
                  <c:pt idx="0">
                    <c:v>140</c:v>
                  </c:pt>
                  <c:pt idx="1">
                    <c:v>-146</c:v>
                  </c:pt>
                  <c:pt idx="2">
                    <c:v>182</c:v>
                  </c:pt>
                  <c:pt idx="3">
                    <c:v>-48</c:v>
                  </c:pt>
                  <c:pt idx="4">
                    <c:v>-61</c:v>
                  </c:pt>
                  <c:pt idx="5">
                    <c:v>67</c:v>
                  </c:pt>
                  <c:pt idx="6">
                    <c:v>-83</c:v>
                  </c:pt>
                  <c:pt idx="7">
                    <c:v>105</c:v>
                  </c:pt>
                  <c:pt idx="8">
                    <c:v>-23</c:v>
                  </c:pt>
                  <c:pt idx="9">
                    <c:v>225</c:v>
                  </c:pt>
                  <c:pt idx="10">
                    <c:v>-95</c:v>
                  </c:pt>
                  <c:pt idx="11">
                    <c:v>-370</c:v>
                  </c:pt>
                </c15:dlblRangeCache>
              </c15:datalabelsRange>
            </c:ext>
            <c:ext xmlns:c16="http://schemas.microsoft.com/office/drawing/2014/chart" uri="{C3380CC4-5D6E-409C-BE32-E72D297353CC}">
              <c16:uniqueId val="{00000000-BF31-B74E-8964-8F6BF6A27102}"/>
            </c:ext>
          </c:extLst>
        </c:ser>
        <c:dLbls>
          <c:showLegendKey val="0"/>
          <c:showVal val="0"/>
          <c:showCatName val="0"/>
          <c:showSerName val="0"/>
          <c:showPercent val="0"/>
          <c:showBubbleSize val="0"/>
        </c:dLbls>
        <c:marker val="1"/>
        <c:smooth val="0"/>
        <c:axId val="1252322239"/>
        <c:axId val="1210098431"/>
      </c:lineChart>
      <c:scatterChart>
        <c:scatterStyle val="lineMarker"/>
        <c:varyColors val="0"/>
        <c:ser>
          <c:idx val="1"/>
          <c:order val="1"/>
          <c:tx>
            <c:v>正值</c:v>
          </c:tx>
          <c:spPr>
            <a:ln w="25400" cap="rnd">
              <a:noFill/>
              <a:round/>
            </a:ln>
            <a:effectLst/>
          </c:spPr>
          <c:marker>
            <c:symbol val="none"/>
          </c:marker>
          <c:errBars>
            <c:errDir val="x"/>
            <c:errBarType val="minus"/>
            <c:errValType val="fixedVal"/>
            <c:noEndCap val="1"/>
            <c:val val="1"/>
            <c:spPr>
              <a:noFill/>
              <a:ln w="9525" cap="flat" cmpd="sng" algn="ctr">
                <a:solidFill>
                  <a:schemeClr val="tx1">
                    <a:lumMod val="65000"/>
                    <a:lumOff val="35000"/>
                  </a:schemeClr>
                </a:solidFill>
                <a:round/>
              </a:ln>
              <a:effectLst/>
            </c:spPr>
          </c:errBars>
          <c:errBars>
            <c:errDir val="y"/>
            <c:errBarType val="plus"/>
            <c:errValType val="cust"/>
            <c:noEndCap val="1"/>
            <c:plus>
              <c:numRef>
                <c:f>误差法!$A$48:$A$59</c:f>
                <c:numCache>
                  <c:formatCode>General</c:formatCode>
                  <c:ptCount val="12"/>
                  <c:pt idx="0">
                    <c:v>140</c:v>
                  </c:pt>
                  <c:pt idx="1">
                    <c:v>0</c:v>
                  </c:pt>
                  <c:pt idx="2">
                    <c:v>182</c:v>
                  </c:pt>
                  <c:pt idx="3">
                    <c:v>0</c:v>
                  </c:pt>
                  <c:pt idx="4">
                    <c:v>0</c:v>
                  </c:pt>
                  <c:pt idx="5">
                    <c:v>67</c:v>
                  </c:pt>
                  <c:pt idx="6">
                    <c:v>0</c:v>
                  </c:pt>
                  <c:pt idx="7">
                    <c:v>105</c:v>
                  </c:pt>
                  <c:pt idx="8">
                    <c:v>0</c:v>
                  </c:pt>
                  <c:pt idx="9">
                    <c:v>225</c:v>
                  </c:pt>
                  <c:pt idx="10">
                    <c:v>0</c:v>
                  </c:pt>
                  <c:pt idx="11">
                    <c:v>0</c:v>
                  </c:pt>
                </c:numCache>
              </c:numRef>
            </c:plus>
            <c:minus>
              <c:numLit>
                <c:formatCode>General</c:formatCode>
                <c:ptCount val="1"/>
                <c:pt idx="0">
                  <c:v>1</c:v>
                </c:pt>
              </c:numLit>
            </c:minus>
            <c:spPr>
              <a:noFill/>
              <a:ln w="228600" cap="flat" cmpd="sng" algn="ctr">
                <a:solidFill>
                  <a:srgbClr val="00B050"/>
                </a:solidFill>
                <a:round/>
              </a:ln>
              <a:effectLst/>
            </c:spPr>
          </c:errBars>
          <c:xVal>
            <c:strRef>
              <c:f>误差法!$A$23:$A$34</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xVal>
          <c:yVal>
            <c:numRef>
              <c:f>误差法!$B$23:$B$34</c:f>
              <c:numCache>
                <c:formatCode>General</c:formatCode>
                <c:ptCount val="12"/>
                <c:pt idx="0">
                  <c:v>107</c:v>
                </c:pt>
                <c:pt idx="1">
                  <c:v>247</c:v>
                </c:pt>
                <c:pt idx="2">
                  <c:v>101</c:v>
                </c:pt>
                <c:pt idx="3">
                  <c:v>283</c:v>
                </c:pt>
                <c:pt idx="4">
                  <c:v>235</c:v>
                </c:pt>
                <c:pt idx="5">
                  <c:v>174</c:v>
                </c:pt>
                <c:pt idx="6">
                  <c:v>241</c:v>
                </c:pt>
                <c:pt idx="7">
                  <c:v>158</c:v>
                </c:pt>
                <c:pt idx="8">
                  <c:v>263</c:v>
                </c:pt>
                <c:pt idx="9">
                  <c:v>240</c:v>
                </c:pt>
                <c:pt idx="10">
                  <c:v>465</c:v>
                </c:pt>
                <c:pt idx="11">
                  <c:v>370</c:v>
                </c:pt>
              </c:numCache>
            </c:numRef>
          </c:yVal>
          <c:smooth val="0"/>
          <c:extLst>
            <c:ext xmlns:c16="http://schemas.microsoft.com/office/drawing/2014/chart" uri="{C3380CC4-5D6E-409C-BE32-E72D297353CC}">
              <c16:uniqueId val="{00000001-BF31-B74E-8964-8F6BF6A27102}"/>
            </c:ext>
          </c:extLst>
        </c:ser>
        <c:ser>
          <c:idx val="2"/>
          <c:order val="2"/>
          <c:tx>
            <c:v>负值</c:v>
          </c:tx>
          <c:spPr>
            <a:ln w="25400" cap="rnd">
              <a:noFill/>
              <a:round/>
            </a:ln>
            <a:effectLst/>
          </c:spPr>
          <c:marker>
            <c:symbol val="none"/>
          </c:marker>
          <c:errBars>
            <c:errDir val="y"/>
            <c:errBarType val="plus"/>
            <c:errValType val="cust"/>
            <c:noEndCap val="1"/>
            <c:plus>
              <c:numRef>
                <c:f>误差法!$B$48:$B$59</c:f>
                <c:numCache>
                  <c:formatCode>General</c:formatCode>
                  <c:ptCount val="12"/>
                  <c:pt idx="0">
                    <c:v>0</c:v>
                  </c:pt>
                  <c:pt idx="1">
                    <c:v>-146</c:v>
                  </c:pt>
                  <c:pt idx="2">
                    <c:v>0</c:v>
                  </c:pt>
                  <c:pt idx="3">
                    <c:v>-48</c:v>
                  </c:pt>
                  <c:pt idx="4">
                    <c:v>-61</c:v>
                  </c:pt>
                  <c:pt idx="5">
                    <c:v>0</c:v>
                  </c:pt>
                  <c:pt idx="6">
                    <c:v>-83</c:v>
                  </c:pt>
                  <c:pt idx="7">
                    <c:v>0</c:v>
                  </c:pt>
                  <c:pt idx="8">
                    <c:v>-23</c:v>
                  </c:pt>
                  <c:pt idx="9">
                    <c:v>0</c:v>
                  </c:pt>
                  <c:pt idx="10">
                    <c:v>-95</c:v>
                  </c:pt>
                  <c:pt idx="11">
                    <c:v>-370</c:v>
                  </c:pt>
                </c:numCache>
              </c:numRef>
            </c:plus>
            <c:minus>
              <c:numLit>
                <c:formatCode>General</c:formatCode>
                <c:ptCount val="1"/>
                <c:pt idx="0">
                  <c:v>1</c:v>
                </c:pt>
              </c:numLit>
            </c:minus>
            <c:spPr>
              <a:noFill/>
              <a:ln w="228600" cap="flat" cmpd="sng" algn="ctr">
                <a:solidFill>
                  <a:srgbClr val="FF0000"/>
                </a:solidFill>
                <a:round/>
              </a:ln>
              <a:effectLst/>
            </c:spPr>
          </c:errBars>
          <c:xVal>
            <c:strRef>
              <c:f>误差法!$A$23:$A$34</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xVal>
          <c:yVal>
            <c:numRef>
              <c:f>误差法!$B$23:$B$34</c:f>
              <c:numCache>
                <c:formatCode>General</c:formatCode>
                <c:ptCount val="12"/>
                <c:pt idx="0">
                  <c:v>107</c:v>
                </c:pt>
                <c:pt idx="1">
                  <c:v>247</c:v>
                </c:pt>
                <c:pt idx="2">
                  <c:v>101</c:v>
                </c:pt>
                <c:pt idx="3">
                  <c:v>283</c:v>
                </c:pt>
                <c:pt idx="4">
                  <c:v>235</c:v>
                </c:pt>
                <c:pt idx="5">
                  <c:v>174</c:v>
                </c:pt>
                <c:pt idx="6">
                  <c:v>241</c:v>
                </c:pt>
                <c:pt idx="7">
                  <c:v>158</c:v>
                </c:pt>
                <c:pt idx="8">
                  <c:v>263</c:v>
                </c:pt>
                <c:pt idx="9">
                  <c:v>240</c:v>
                </c:pt>
                <c:pt idx="10">
                  <c:v>465</c:v>
                </c:pt>
                <c:pt idx="11">
                  <c:v>370</c:v>
                </c:pt>
              </c:numCache>
            </c:numRef>
          </c:yVal>
          <c:smooth val="0"/>
          <c:extLst>
            <c:ext xmlns:c16="http://schemas.microsoft.com/office/drawing/2014/chart" uri="{C3380CC4-5D6E-409C-BE32-E72D297353CC}">
              <c16:uniqueId val="{00000002-BF31-B74E-8964-8F6BF6A27102}"/>
            </c:ext>
          </c:extLst>
        </c:ser>
        <c:dLbls>
          <c:showLegendKey val="0"/>
          <c:showVal val="0"/>
          <c:showCatName val="0"/>
          <c:showSerName val="0"/>
          <c:showPercent val="0"/>
          <c:showBubbleSize val="0"/>
        </c:dLbls>
        <c:axId val="1129413055"/>
        <c:axId val="1252428415"/>
      </c:scatterChart>
      <c:catAx>
        <c:axId val="125232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10098431"/>
        <c:crosses val="autoZero"/>
        <c:auto val="1"/>
        <c:lblAlgn val="ctr"/>
        <c:lblOffset val="100"/>
        <c:noMultiLvlLbl val="0"/>
      </c:catAx>
      <c:valAx>
        <c:axId val="1210098431"/>
        <c:scaling>
          <c:orientation val="minMax"/>
          <c:max val="5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52322239"/>
        <c:crosses val="autoZero"/>
        <c:crossBetween val="between"/>
      </c:valAx>
      <c:valAx>
        <c:axId val="125242841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29413055"/>
        <c:crosses val="max"/>
        <c:crossBetween val="midCat"/>
      </c:valAx>
      <c:valAx>
        <c:axId val="1129413055"/>
        <c:scaling>
          <c:orientation val="minMax"/>
          <c:max val="12.5"/>
          <c:min val="0.5"/>
        </c:scaling>
        <c:delete val="0"/>
        <c:axPos val="t"/>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52428415"/>
        <c:crosses val="max"/>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0"/>
          <a:lstStyle/>
          <a:p>
            <a:pPr>
              <a:defRPr sz="1400" b="0" i="0" u="none" strike="noStrike" kern="1200" spc="0" baseline="0">
                <a:solidFill>
                  <a:schemeClr val="tx1">
                    <a:lumMod val="65000"/>
                    <a:lumOff val="35000"/>
                  </a:schemeClr>
                </a:solidFill>
                <a:latin typeface="+mn-lt"/>
                <a:ea typeface="+mn-ea"/>
                <a:cs typeface="+mn-cs"/>
              </a:defRPr>
            </a:pPr>
            <a:r>
              <a:rPr lang="zh-CN" altLang="en-US"/>
              <a:t>市场占有率</a:t>
            </a:r>
          </a:p>
        </c:rich>
      </c:tx>
      <c:layout>
        <c:manualLayout>
          <c:xMode val="edge"/>
          <c:yMode val="edge"/>
          <c:x val="0.38693780795914229"/>
          <c:y val="0.49150494830382774"/>
        </c:manualLayout>
      </c:layout>
      <c:overlay val="0"/>
      <c:spPr>
        <a:noFill/>
        <a:ln>
          <a:noFill/>
        </a:ln>
        <a:effectLst/>
      </c:spPr>
      <c:txPr>
        <a:bodyPr rot="0" spcFirstLastPara="1" vertOverflow="ellipsis" vert="horz" wrap="square" anchor="ctr" anchorCtr="0"/>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doughnutChart>
        <c:varyColors val="1"/>
        <c:ser>
          <c:idx val="0"/>
          <c:order val="0"/>
          <c:tx>
            <c:strRef>
              <c:f>其它图表!$B$5</c:f>
              <c:strCache>
                <c:ptCount val="1"/>
                <c:pt idx="0">
                  <c:v>2010年</c:v>
                </c:pt>
              </c:strCache>
            </c:strRef>
          </c:tx>
          <c:dPt>
            <c:idx val="0"/>
            <c:bubble3D val="0"/>
            <c:spPr>
              <a:solidFill>
                <a:schemeClr val="tx2">
                  <a:lumMod val="50000"/>
                  <a:alpha val="40000"/>
                </a:schemeClr>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A-CCB2-E740-976F-654B443DF4CB}"/>
              </c:ext>
            </c:extLst>
          </c:dPt>
          <c:dPt>
            <c:idx val="1"/>
            <c:bubble3D val="0"/>
            <c:spPr>
              <a:noFill/>
              <a:ln w="19050">
                <a:solidFill>
                  <a:schemeClr val="lt1"/>
                </a:solidFill>
              </a:ln>
              <a:effectLst/>
            </c:spPr>
            <c:extLst>
              <c:ext xmlns:c16="http://schemas.microsoft.com/office/drawing/2014/chart" uri="{C3380CC4-5D6E-409C-BE32-E72D297353CC}">
                <c16:uniqueId val="{00000004-CCB2-E740-976F-654B443DF4CB}"/>
              </c:ext>
            </c:extLst>
          </c:dPt>
          <c:cat>
            <c:strRef>
              <c:f>其它图表!$C$4:$D$4</c:f>
              <c:strCache>
                <c:ptCount val="2"/>
                <c:pt idx="0">
                  <c:v>市场占有率</c:v>
                </c:pt>
                <c:pt idx="1">
                  <c:v>辅助列</c:v>
                </c:pt>
              </c:strCache>
            </c:strRef>
          </c:cat>
          <c:val>
            <c:numRef>
              <c:f>其它图表!$C$5:$D$5</c:f>
              <c:numCache>
                <c:formatCode>0%</c:formatCode>
                <c:ptCount val="2"/>
                <c:pt idx="0">
                  <c:v>0.45</c:v>
                </c:pt>
                <c:pt idx="1">
                  <c:v>0.55000000000000004</c:v>
                </c:pt>
              </c:numCache>
            </c:numRef>
          </c:val>
          <c:extLst>
            <c:ext xmlns:c16="http://schemas.microsoft.com/office/drawing/2014/chart" uri="{C3380CC4-5D6E-409C-BE32-E72D297353CC}">
              <c16:uniqueId val="{00000000-CCB2-E740-976F-654B443DF4CB}"/>
            </c:ext>
          </c:extLst>
        </c:ser>
        <c:ser>
          <c:idx val="1"/>
          <c:order val="1"/>
          <c:tx>
            <c:strRef>
              <c:f>其它图表!$B$6</c:f>
              <c:strCache>
                <c:ptCount val="1"/>
                <c:pt idx="0">
                  <c:v>2011年</c:v>
                </c:pt>
              </c:strCache>
            </c:strRef>
          </c:tx>
          <c:dPt>
            <c:idx val="0"/>
            <c:bubble3D val="0"/>
            <c:spPr>
              <a:solidFill>
                <a:schemeClr val="tx2">
                  <a:lumMod val="50000"/>
                  <a:alpha val="60000"/>
                </a:schemeClr>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9-CCB2-E740-976F-654B443DF4CB}"/>
              </c:ext>
            </c:extLst>
          </c:dPt>
          <c:dPt>
            <c:idx val="1"/>
            <c:bubble3D val="0"/>
            <c:spPr>
              <a:noFill/>
              <a:ln w="19050">
                <a:solidFill>
                  <a:schemeClr val="lt1"/>
                </a:solidFill>
              </a:ln>
              <a:effectLst/>
            </c:spPr>
            <c:extLst>
              <c:ext xmlns:c16="http://schemas.microsoft.com/office/drawing/2014/chart" uri="{C3380CC4-5D6E-409C-BE32-E72D297353CC}">
                <c16:uniqueId val="{00000005-CCB2-E740-976F-654B443DF4CB}"/>
              </c:ext>
            </c:extLst>
          </c:dPt>
          <c:cat>
            <c:strRef>
              <c:f>其它图表!$C$4:$D$4</c:f>
              <c:strCache>
                <c:ptCount val="2"/>
                <c:pt idx="0">
                  <c:v>市场占有率</c:v>
                </c:pt>
                <c:pt idx="1">
                  <c:v>辅助列</c:v>
                </c:pt>
              </c:strCache>
            </c:strRef>
          </c:cat>
          <c:val>
            <c:numRef>
              <c:f>其它图表!$C$6:$D$6</c:f>
              <c:numCache>
                <c:formatCode>0%</c:formatCode>
                <c:ptCount val="2"/>
                <c:pt idx="0">
                  <c:v>0.56000000000000005</c:v>
                </c:pt>
                <c:pt idx="1">
                  <c:v>0.43999999999999995</c:v>
                </c:pt>
              </c:numCache>
            </c:numRef>
          </c:val>
          <c:extLst>
            <c:ext xmlns:c16="http://schemas.microsoft.com/office/drawing/2014/chart" uri="{C3380CC4-5D6E-409C-BE32-E72D297353CC}">
              <c16:uniqueId val="{00000001-CCB2-E740-976F-654B443DF4CB}"/>
            </c:ext>
          </c:extLst>
        </c:ser>
        <c:ser>
          <c:idx val="2"/>
          <c:order val="2"/>
          <c:tx>
            <c:strRef>
              <c:f>其它图表!$B$7</c:f>
              <c:strCache>
                <c:ptCount val="1"/>
                <c:pt idx="0">
                  <c:v>2012年</c:v>
                </c:pt>
              </c:strCache>
            </c:strRef>
          </c:tx>
          <c:dPt>
            <c:idx val="0"/>
            <c:bubble3D val="0"/>
            <c:spPr>
              <a:solidFill>
                <a:schemeClr val="tx2">
                  <a:lumMod val="50000"/>
                  <a:alpha val="80000"/>
                </a:schemeClr>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8-CCB2-E740-976F-654B443DF4CB}"/>
              </c:ext>
            </c:extLst>
          </c:dPt>
          <c:dPt>
            <c:idx val="1"/>
            <c:bubble3D val="0"/>
            <c:spPr>
              <a:noFill/>
              <a:ln w="19050">
                <a:solidFill>
                  <a:schemeClr val="lt1"/>
                </a:solidFill>
              </a:ln>
              <a:effectLst/>
            </c:spPr>
            <c:extLst>
              <c:ext xmlns:c16="http://schemas.microsoft.com/office/drawing/2014/chart" uri="{C3380CC4-5D6E-409C-BE32-E72D297353CC}">
                <c16:uniqueId val="{00000006-CCB2-E740-976F-654B443DF4CB}"/>
              </c:ext>
            </c:extLst>
          </c:dPt>
          <c:cat>
            <c:strRef>
              <c:f>其它图表!$C$4:$D$4</c:f>
              <c:strCache>
                <c:ptCount val="2"/>
                <c:pt idx="0">
                  <c:v>市场占有率</c:v>
                </c:pt>
                <c:pt idx="1">
                  <c:v>辅助列</c:v>
                </c:pt>
              </c:strCache>
            </c:strRef>
          </c:cat>
          <c:val>
            <c:numRef>
              <c:f>其它图表!$C$7:$D$7</c:f>
              <c:numCache>
                <c:formatCode>0%</c:formatCode>
                <c:ptCount val="2"/>
                <c:pt idx="0">
                  <c:v>0.63</c:v>
                </c:pt>
                <c:pt idx="1">
                  <c:v>0.37</c:v>
                </c:pt>
              </c:numCache>
            </c:numRef>
          </c:val>
          <c:extLst>
            <c:ext xmlns:c16="http://schemas.microsoft.com/office/drawing/2014/chart" uri="{C3380CC4-5D6E-409C-BE32-E72D297353CC}">
              <c16:uniqueId val="{00000002-CCB2-E740-976F-654B443DF4CB}"/>
            </c:ext>
          </c:extLst>
        </c:ser>
        <c:ser>
          <c:idx val="3"/>
          <c:order val="3"/>
          <c:tx>
            <c:strRef>
              <c:f>其它图表!$B$8</c:f>
              <c:strCache>
                <c:ptCount val="1"/>
                <c:pt idx="0">
                  <c:v>2013年</c:v>
                </c:pt>
              </c:strCache>
            </c:strRef>
          </c:tx>
          <c:spPr>
            <a:solidFill>
              <a:schemeClr val="tx2">
                <a:lumMod val="50000"/>
              </a:schemeClr>
            </a:solidFill>
            <a:effectLst>
              <a:outerShdw blurRad="50800" dist="38100" dir="5400000" algn="t" rotWithShape="0">
                <a:prstClr val="black">
                  <a:alpha val="40000"/>
                </a:prstClr>
              </a:outerShdw>
            </a:effectLst>
          </c:spPr>
          <c:dPt>
            <c:idx val="0"/>
            <c:bubble3D val="0"/>
            <c:spPr>
              <a:solidFill>
                <a:schemeClr val="tx2">
                  <a:lumMod val="50000"/>
                </a:schemeClr>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D-B115-E242-B46B-C83F4244397E}"/>
              </c:ext>
            </c:extLst>
          </c:dPt>
          <c:dPt>
            <c:idx val="1"/>
            <c:bubble3D val="0"/>
            <c:spPr>
              <a:noFill/>
              <a:ln w="19050">
                <a:solidFill>
                  <a:schemeClr val="lt1"/>
                </a:solidFill>
              </a:ln>
              <a:effectLst/>
            </c:spPr>
            <c:extLst>
              <c:ext xmlns:c16="http://schemas.microsoft.com/office/drawing/2014/chart" uri="{C3380CC4-5D6E-409C-BE32-E72D297353CC}">
                <c16:uniqueId val="{00000007-CCB2-E740-976F-654B443DF4CB}"/>
              </c:ext>
            </c:extLst>
          </c:dPt>
          <c:cat>
            <c:strRef>
              <c:f>其它图表!$C$4:$D$4</c:f>
              <c:strCache>
                <c:ptCount val="2"/>
                <c:pt idx="0">
                  <c:v>市场占有率</c:v>
                </c:pt>
                <c:pt idx="1">
                  <c:v>辅助列</c:v>
                </c:pt>
              </c:strCache>
            </c:strRef>
          </c:cat>
          <c:val>
            <c:numRef>
              <c:f>其它图表!$C$8:$D$8</c:f>
              <c:numCache>
                <c:formatCode>0%</c:formatCode>
                <c:ptCount val="2"/>
                <c:pt idx="0">
                  <c:v>0.75</c:v>
                </c:pt>
                <c:pt idx="1">
                  <c:v>0.25</c:v>
                </c:pt>
              </c:numCache>
            </c:numRef>
          </c:val>
          <c:extLst>
            <c:ext xmlns:c16="http://schemas.microsoft.com/office/drawing/2014/chart" uri="{C3380CC4-5D6E-409C-BE32-E72D297353CC}">
              <c16:uniqueId val="{00000003-CCB2-E740-976F-654B443DF4CB}"/>
            </c:ext>
          </c:extLst>
        </c:ser>
        <c:dLbls>
          <c:showLegendKey val="0"/>
          <c:showVal val="0"/>
          <c:showCatName val="0"/>
          <c:showSerName val="0"/>
          <c:showPercent val="0"/>
          <c:showBubbleSize val="0"/>
          <c:showLeaderLines val="1"/>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其它图表!$C$21</c:f>
              <c:strCache>
                <c:ptCount val="1"/>
                <c:pt idx="0">
                  <c:v>彩盒</c:v>
                </c:pt>
              </c:strCache>
            </c:strRef>
          </c:tx>
          <c:spPr>
            <a:solidFill>
              <a:schemeClr val="tx2">
                <a:lumMod val="50000"/>
              </a:schemeClr>
            </a:solidFill>
            <a:ln>
              <a:noFill/>
            </a:ln>
            <a:effectLst/>
          </c:spPr>
          <c:cat>
            <c:strRef>
              <c:f>其它图表!$B$22:$B$33</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其它图表!$C$22:$C$33</c:f>
              <c:numCache>
                <c:formatCode>General</c:formatCode>
                <c:ptCount val="12"/>
                <c:pt idx="0">
                  <c:v>382003.9</c:v>
                </c:pt>
                <c:pt idx="1">
                  <c:v>222520.2</c:v>
                </c:pt>
                <c:pt idx="2">
                  <c:v>507398.7</c:v>
                </c:pt>
                <c:pt idx="3">
                  <c:v>582530.5</c:v>
                </c:pt>
                <c:pt idx="4">
                  <c:v>401726.4</c:v>
                </c:pt>
                <c:pt idx="5">
                  <c:v>334359.90000000002</c:v>
                </c:pt>
                <c:pt idx="6">
                  <c:v>510119</c:v>
                </c:pt>
                <c:pt idx="7">
                  <c:v>220130.1</c:v>
                </c:pt>
                <c:pt idx="8">
                  <c:v>373503.2</c:v>
                </c:pt>
                <c:pt idx="9">
                  <c:v>439424.1</c:v>
                </c:pt>
                <c:pt idx="10">
                  <c:v>428661.6</c:v>
                </c:pt>
                <c:pt idx="11">
                  <c:v>692964.7</c:v>
                </c:pt>
              </c:numCache>
            </c:numRef>
          </c:val>
          <c:extLst>
            <c:ext xmlns:c16="http://schemas.microsoft.com/office/drawing/2014/chart" uri="{C3380CC4-5D6E-409C-BE32-E72D297353CC}">
              <c16:uniqueId val="{00000000-551B-B84C-B2DC-5DCFCBFCD4BD}"/>
            </c:ext>
          </c:extLst>
        </c:ser>
        <c:ser>
          <c:idx val="1"/>
          <c:order val="1"/>
          <c:tx>
            <c:strRef>
              <c:f>其它图表!$D$21</c:f>
              <c:strCache>
                <c:ptCount val="1"/>
                <c:pt idx="0">
                  <c:v>宠物用品</c:v>
                </c:pt>
              </c:strCache>
            </c:strRef>
          </c:tx>
          <c:spPr>
            <a:solidFill>
              <a:schemeClr val="tx2">
                <a:lumMod val="50000"/>
                <a:alpha val="80000"/>
              </a:schemeClr>
            </a:solidFill>
            <a:ln>
              <a:noFill/>
            </a:ln>
            <a:effectLst/>
          </c:spPr>
          <c:cat>
            <c:strRef>
              <c:f>其它图表!$B$22:$B$33</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其它图表!$D$22:$D$33</c:f>
              <c:numCache>
                <c:formatCode>General</c:formatCode>
                <c:ptCount val="12"/>
                <c:pt idx="0">
                  <c:v>364203.6</c:v>
                </c:pt>
                <c:pt idx="1">
                  <c:v>181175.7</c:v>
                </c:pt>
                <c:pt idx="2">
                  <c:v>867964.1</c:v>
                </c:pt>
                <c:pt idx="3">
                  <c:v>1153034.7</c:v>
                </c:pt>
                <c:pt idx="4">
                  <c:v>381435.7</c:v>
                </c:pt>
                <c:pt idx="5">
                  <c:v>309793.2</c:v>
                </c:pt>
                <c:pt idx="6">
                  <c:v>580041.4</c:v>
                </c:pt>
                <c:pt idx="7">
                  <c:v>150590</c:v>
                </c:pt>
                <c:pt idx="8">
                  <c:v>408638.3</c:v>
                </c:pt>
                <c:pt idx="9">
                  <c:v>305883.09999999998</c:v>
                </c:pt>
                <c:pt idx="10">
                  <c:v>194589.1</c:v>
                </c:pt>
                <c:pt idx="11">
                  <c:v>111893</c:v>
                </c:pt>
              </c:numCache>
            </c:numRef>
          </c:val>
          <c:extLst>
            <c:ext xmlns:c16="http://schemas.microsoft.com/office/drawing/2014/chart" uri="{C3380CC4-5D6E-409C-BE32-E72D297353CC}">
              <c16:uniqueId val="{00000001-551B-B84C-B2DC-5DCFCBFCD4BD}"/>
            </c:ext>
          </c:extLst>
        </c:ser>
        <c:ser>
          <c:idx val="2"/>
          <c:order val="2"/>
          <c:tx>
            <c:strRef>
              <c:f>其它图表!$E$21</c:f>
              <c:strCache>
                <c:ptCount val="1"/>
                <c:pt idx="0">
                  <c:v>警告标</c:v>
                </c:pt>
              </c:strCache>
            </c:strRef>
          </c:tx>
          <c:spPr>
            <a:solidFill>
              <a:schemeClr val="tx2">
                <a:lumMod val="50000"/>
                <a:alpha val="60000"/>
              </a:schemeClr>
            </a:solidFill>
            <a:ln>
              <a:noFill/>
            </a:ln>
            <a:effectLst/>
          </c:spPr>
          <c:cat>
            <c:strRef>
              <c:f>其它图表!$B$22:$B$33</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其它图表!$E$22:$E$33</c:f>
              <c:numCache>
                <c:formatCode>General</c:formatCode>
                <c:ptCount val="12"/>
                <c:pt idx="0">
                  <c:v>82190.399999999994</c:v>
                </c:pt>
                <c:pt idx="1">
                  <c:v>77177.7</c:v>
                </c:pt>
                <c:pt idx="2">
                  <c:v>274581.59999999998</c:v>
                </c:pt>
                <c:pt idx="3">
                  <c:v>216350.3</c:v>
                </c:pt>
                <c:pt idx="4">
                  <c:v>347903.1</c:v>
                </c:pt>
                <c:pt idx="5">
                  <c:v>406920.5</c:v>
                </c:pt>
                <c:pt idx="6">
                  <c:v>347489.7</c:v>
                </c:pt>
                <c:pt idx="7">
                  <c:v>462951.1</c:v>
                </c:pt>
                <c:pt idx="8">
                  <c:v>415767.6</c:v>
                </c:pt>
                <c:pt idx="9">
                  <c:v>307138.8</c:v>
                </c:pt>
                <c:pt idx="10">
                  <c:v>560053.1</c:v>
                </c:pt>
                <c:pt idx="11">
                  <c:v>513013.9</c:v>
                </c:pt>
              </c:numCache>
            </c:numRef>
          </c:val>
          <c:extLst>
            <c:ext xmlns:c16="http://schemas.microsoft.com/office/drawing/2014/chart" uri="{C3380CC4-5D6E-409C-BE32-E72D297353CC}">
              <c16:uniqueId val="{00000002-551B-B84C-B2DC-5DCFCBFCD4BD}"/>
            </c:ext>
          </c:extLst>
        </c:ser>
        <c:ser>
          <c:idx val="3"/>
          <c:order val="3"/>
          <c:tx>
            <c:strRef>
              <c:f>其它图表!$F$21</c:f>
              <c:strCache>
                <c:ptCount val="1"/>
                <c:pt idx="0">
                  <c:v>暖靴</c:v>
                </c:pt>
              </c:strCache>
            </c:strRef>
          </c:tx>
          <c:spPr>
            <a:solidFill>
              <a:schemeClr val="tx2">
                <a:lumMod val="50000"/>
                <a:alpha val="40000"/>
              </a:schemeClr>
            </a:solidFill>
            <a:ln>
              <a:noFill/>
            </a:ln>
            <a:effectLst/>
          </c:spPr>
          <c:cat>
            <c:strRef>
              <c:f>其它图表!$B$22:$B$33</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其它图表!$F$22:$F$33</c:f>
              <c:numCache>
                <c:formatCode>General</c:formatCode>
                <c:ptCount val="12"/>
                <c:pt idx="0">
                  <c:v>57118.2</c:v>
                </c:pt>
                <c:pt idx="1">
                  <c:v>282039.7</c:v>
                </c:pt>
                <c:pt idx="2">
                  <c:v>267860.3</c:v>
                </c:pt>
                <c:pt idx="3">
                  <c:v>152184.79999999999</c:v>
                </c:pt>
                <c:pt idx="4">
                  <c:v>392195.9</c:v>
                </c:pt>
                <c:pt idx="5">
                  <c:v>257433.1</c:v>
                </c:pt>
                <c:pt idx="6">
                  <c:v>234713</c:v>
                </c:pt>
                <c:pt idx="7">
                  <c:v>193999.3</c:v>
                </c:pt>
                <c:pt idx="8">
                  <c:v>336451.8</c:v>
                </c:pt>
                <c:pt idx="9">
                  <c:v>278499.7</c:v>
                </c:pt>
                <c:pt idx="10">
                  <c:v>786852.4</c:v>
                </c:pt>
                <c:pt idx="11">
                  <c:v>1019700.9</c:v>
                </c:pt>
              </c:numCache>
            </c:numRef>
          </c:val>
          <c:extLst>
            <c:ext xmlns:c16="http://schemas.microsoft.com/office/drawing/2014/chart" uri="{C3380CC4-5D6E-409C-BE32-E72D297353CC}">
              <c16:uniqueId val="{00000003-551B-B84C-B2DC-5DCFCBFCD4BD}"/>
            </c:ext>
          </c:extLst>
        </c:ser>
        <c:dLbls>
          <c:showLegendKey val="0"/>
          <c:showVal val="0"/>
          <c:showCatName val="0"/>
          <c:showSerName val="0"/>
          <c:showPercent val="0"/>
          <c:showBubbleSize val="0"/>
        </c:dLbls>
        <c:axId val="1808068415"/>
        <c:axId val="1807507327"/>
      </c:areaChart>
      <c:catAx>
        <c:axId val="1808068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807507327"/>
        <c:crosses val="autoZero"/>
        <c:auto val="1"/>
        <c:lblAlgn val="ctr"/>
        <c:lblOffset val="100"/>
        <c:noMultiLvlLbl val="0"/>
      </c:catAx>
      <c:valAx>
        <c:axId val="1807507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80806841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波士顿矩阵</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tx>
            <c:strRef>
              <c:f>其它图表!$D$39</c:f>
              <c:strCache>
                <c:ptCount val="1"/>
                <c:pt idx="0">
                  <c:v>成长率（Y轴）</c:v>
                </c:pt>
              </c:strCache>
            </c:strRef>
          </c:tx>
          <c:spPr>
            <a:ln w="25400" cap="rnd">
              <a:noFill/>
              <a:round/>
            </a:ln>
            <a:effectLst/>
          </c:spPr>
          <c:marker>
            <c:symbol val="circle"/>
            <c:size val="30"/>
            <c:spPr>
              <a:solidFill>
                <a:srgbClr val="FFC000"/>
              </a:solidFill>
              <a:ln w="9525">
                <a:noFill/>
              </a:ln>
              <a:effectLst/>
            </c:spPr>
          </c:marker>
          <c:dLbls>
            <c:dLbl>
              <c:idx val="0"/>
              <c:tx>
                <c:rich>
                  <a:bodyPr/>
                  <a:lstStyle/>
                  <a:p>
                    <a:fld id="{309C7BF0-EB9D-6346-A799-FC47CF4A2EF2}" type="CELLRANGE">
                      <a:rPr lang="en-US" altLang="zh-CN"/>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16B1-F247-97AE-A38D35841512}"/>
                </c:ext>
              </c:extLst>
            </c:dLbl>
            <c:dLbl>
              <c:idx val="1"/>
              <c:tx>
                <c:rich>
                  <a:bodyPr/>
                  <a:lstStyle/>
                  <a:p>
                    <a:fld id="{54606D6D-1DD8-D04F-953C-B5FCEF00CEE2}" type="CELLRANGE">
                      <a:rPr lang="zh-CN" altLang="en-US"/>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6B1-F247-97AE-A38D35841512}"/>
                </c:ext>
              </c:extLst>
            </c:dLbl>
            <c:dLbl>
              <c:idx val="2"/>
              <c:tx>
                <c:rich>
                  <a:bodyPr/>
                  <a:lstStyle/>
                  <a:p>
                    <a:fld id="{623416E7-C604-D647-88A3-C99DC995E6C3}" type="CELLRANGE">
                      <a:rPr lang="zh-CN" altLang="en-US"/>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6B1-F247-97AE-A38D35841512}"/>
                </c:ext>
              </c:extLst>
            </c:dLbl>
            <c:dLbl>
              <c:idx val="3"/>
              <c:tx>
                <c:rich>
                  <a:bodyPr/>
                  <a:lstStyle/>
                  <a:p>
                    <a:fld id="{1057A687-E7E2-5541-A30F-B518BD26E138}" type="CELLRANGE">
                      <a:rPr lang="zh-CN" altLang="en-US"/>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6B1-F247-97AE-A38D35841512}"/>
                </c:ext>
              </c:extLst>
            </c:dLbl>
            <c:dLbl>
              <c:idx val="4"/>
              <c:tx>
                <c:rich>
                  <a:bodyPr/>
                  <a:lstStyle/>
                  <a:p>
                    <a:fld id="{8728E0E6-031D-6A46-9604-A11A3D4EFD1F}" type="CELLRANGE">
                      <a:rPr lang="zh-CN" altLang="en-US"/>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6B1-F247-97AE-A38D35841512}"/>
                </c:ext>
              </c:extLst>
            </c:dLbl>
            <c:dLbl>
              <c:idx val="5"/>
              <c:tx>
                <c:rich>
                  <a:bodyPr/>
                  <a:lstStyle/>
                  <a:p>
                    <a:fld id="{98659C89-3E1B-F94A-A21A-96D953669F27}" type="CELLRANGE">
                      <a:rPr lang="zh-CN" altLang="en-US"/>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6B1-F247-97AE-A38D35841512}"/>
                </c:ext>
              </c:extLst>
            </c:dLbl>
            <c:dLbl>
              <c:idx val="6"/>
              <c:tx>
                <c:rich>
                  <a:bodyPr/>
                  <a:lstStyle/>
                  <a:p>
                    <a:fld id="{9EC53A83-43BF-3348-8046-B085B68B6683}" type="CELLRANGE">
                      <a:rPr lang="zh-CN" altLang="en-US"/>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6B1-F247-97AE-A38D35841512}"/>
                </c:ext>
              </c:extLst>
            </c:dLbl>
            <c:dLbl>
              <c:idx val="7"/>
              <c:tx>
                <c:rich>
                  <a:bodyPr/>
                  <a:lstStyle/>
                  <a:p>
                    <a:fld id="{AF223B53-FB61-1F45-88D7-B56D3CA7CF29}" type="CELLRANGE">
                      <a:rPr lang="zh-CN" altLang="en-US"/>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6B1-F247-97AE-A38D3584151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zh-CN"/>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其它图表!$C$40:$C$47</c:f>
              <c:numCache>
                <c:formatCode>_(* #,##0.00_);_(* \(#,##0.00\);_(* "-"??_);_(@_)</c:formatCode>
                <c:ptCount val="8"/>
                <c:pt idx="0">
                  <c:v>1449</c:v>
                </c:pt>
                <c:pt idx="1">
                  <c:v>860</c:v>
                </c:pt>
                <c:pt idx="2">
                  <c:v>1165</c:v>
                </c:pt>
                <c:pt idx="3">
                  <c:v>719</c:v>
                </c:pt>
                <c:pt idx="4">
                  <c:v>1430</c:v>
                </c:pt>
                <c:pt idx="5">
                  <c:v>1350</c:v>
                </c:pt>
                <c:pt idx="6">
                  <c:v>750</c:v>
                </c:pt>
                <c:pt idx="7">
                  <c:v>1700</c:v>
                </c:pt>
              </c:numCache>
            </c:numRef>
          </c:xVal>
          <c:yVal>
            <c:numRef>
              <c:f>其它图表!$D$40:$D$47</c:f>
              <c:numCache>
                <c:formatCode>0.00%</c:formatCode>
                <c:ptCount val="8"/>
                <c:pt idx="0">
                  <c:v>0.17599999999999999</c:v>
                </c:pt>
                <c:pt idx="1">
                  <c:v>0.27900000000000003</c:v>
                </c:pt>
                <c:pt idx="2">
                  <c:v>0.114</c:v>
                </c:pt>
                <c:pt idx="3">
                  <c:v>0.09</c:v>
                </c:pt>
                <c:pt idx="4">
                  <c:v>5.2999999999999999E-2</c:v>
                </c:pt>
                <c:pt idx="5">
                  <c:v>0.253</c:v>
                </c:pt>
                <c:pt idx="6">
                  <c:v>6.3E-2</c:v>
                </c:pt>
                <c:pt idx="7">
                  <c:v>0.13200000000000001</c:v>
                </c:pt>
              </c:numCache>
            </c:numRef>
          </c:yVal>
          <c:smooth val="0"/>
          <c:extLst>
            <c:ext xmlns:c15="http://schemas.microsoft.com/office/drawing/2012/chart" uri="{02D57815-91ED-43cb-92C2-25804820EDAC}">
              <c15:datalabelsRange>
                <c15:f>其它图表!$B$40:$B$47</c15:f>
                <c15:dlblRangeCache>
                  <c:ptCount val="8"/>
                  <c:pt idx="0">
                    <c:v>A产品</c:v>
                  </c:pt>
                  <c:pt idx="1">
                    <c:v>B产品</c:v>
                  </c:pt>
                  <c:pt idx="2">
                    <c:v>C产品</c:v>
                  </c:pt>
                  <c:pt idx="3">
                    <c:v>D产品</c:v>
                  </c:pt>
                  <c:pt idx="4">
                    <c:v>E产品</c:v>
                  </c:pt>
                  <c:pt idx="5">
                    <c:v>F产品</c:v>
                  </c:pt>
                  <c:pt idx="6">
                    <c:v>G产品</c:v>
                  </c:pt>
                  <c:pt idx="7">
                    <c:v>H产品</c:v>
                  </c:pt>
                </c15:dlblRangeCache>
              </c15:datalabelsRange>
            </c:ext>
            <c:ext xmlns:c16="http://schemas.microsoft.com/office/drawing/2014/chart" uri="{C3380CC4-5D6E-409C-BE32-E72D297353CC}">
              <c16:uniqueId val="{00000008-16B1-F247-97AE-A38D35841512}"/>
            </c:ext>
          </c:extLst>
        </c:ser>
        <c:dLbls>
          <c:showLegendKey val="0"/>
          <c:showVal val="0"/>
          <c:showCatName val="0"/>
          <c:showSerName val="0"/>
          <c:showPercent val="0"/>
          <c:showBubbleSize val="0"/>
        </c:dLbls>
        <c:axId val="1427813952"/>
        <c:axId val="1554239424"/>
      </c:scatterChart>
      <c:valAx>
        <c:axId val="1427813952"/>
        <c:scaling>
          <c:orientation val="maxMin"/>
          <c:min val="600"/>
        </c:scaling>
        <c:delete val="0"/>
        <c:axPos val="b"/>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554239424"/>
        <c:crosses val="autoZero"/>
        <c:crossBetween val="midCat"/>
      </c:valAx>
      <c:valAx>
        <c:axId val="1554239424"/>
        <c:scaling>
          <c:orientation val="minMax"/>
        </c:scaling>
        <c:delete val="0"/>
        <c:axPos val="r"/>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427813952"/>
        <c:crosses val="autoZero"/>
        <c:crossBetween val="midCat"/>
      </c:valAx>
      <c:spPr>
        <a:blipFill>
          <a:blip xmlns:r="http://schemas.openxmlformats.org/officeDocument/2006/relationships" r:embed="rId3">
            <a:extLst>
              <a:ext uri="{96DAC541-7B7A-43D3-8B79-37D633B846F1}">
                <asvg:svgBlip xmlns:asvg="http://schemas.microsoft.com/office/drawing/2016/SVG/main" r:embed="rId4"/>
              </a:ext>
            </a:extLst>
          </a:blip>
          <a:stretch>
            <a:fillRect/>
          </a:stretch>
        </a:blip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userShapes r:id="rId5"/>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其它图表!$B$63</c:f>
              <c:strCache>
                <c:ptCount val="1"/>
                <c:pt idx="0">
                  <c:v>A员工</c:v>
                </c:pt>
              </c:strCache>
            </c:strRef>
          </c:tx>
          <c:spPr>
            <a:solidFill>
              <a:schemeClr val="tx2">
                <a:lumMod val="50000"/>
              </a:schemeClr>
            </a:solidFill>
            <a:ln>
              <a:noFill/>
            </a:ln>
            <a:effectLst/>
          </c:spPr>
          <c:cat>
            <c:strRef>
              <c:f>其它图表!$C$62:$G$62</c:f>
              <c:strCache>
                <c:ptCount val="5"/>
                <c:pt idx="0">
                  <c:v>完单数</c:v>
                </c:pt>
                <c:pt idx="1">
                  <c:v>午高峰出勤</c:v>
                </c:pt>
                <c:pt idx="2">
                  <c:v>晚高峰出勤</c:v>
                </c:pt>
                <c:pt idx="3">
                  <c:v>在线时长</c:v>
                </c:pt>
                <c:pt idx="4">
                  <c:v>背单时长</c:v>
                </c:pt>
              </c:strCache>
            </c:strRef>
          </c:cat>
          <c:val>
            <c:numRef>
              <c:f>其它图表!$C$63:$G$63</c:f>
              <c:numCache>
                <c:formatCode>General</c:formatCode>
                <c:ptCount val="5"/>
                <c:pt idx="0">
                  <c:v>90</c:v>
                </c:pt>
                <c:pt idx="1">
                  <c:v>90</c:v>
                </c:pt>
                <c:pt idx="2">
                  <c:v>90</c:v>
                </c:pt>
                <c:pt idx="3">
                  <c:v>12</c:v>
                </c:pt>
                <c:pt idx="4">
                  <c:v>6</c:v>
                </c:pt>
              </c:numCache>
            </c:numRef>
          </c:val>
          <c:extLst>
            <c:ext xmlns:c16="http://schemas.microsoft.com/office/drawing/2014/chart" uri="{C3380CC4-5D6E-409C-BE32-E72D297353CC}">
              <c16:uniqueId val="{00000000-605E-804D-B860-3161744791C1}"/>
            </c:ext>
          </c:extLst>
        </c:ser>
        <c:ser>
          <c:idx val="1"/>
          <c:order val="1"/>
          <c:tx>
            <c:strRef>
              <c:f>其它图表!$B$64</c:f>
              <c:strCache>
                <c:ptCount val="1"/>
                <c:pt idx="0">
                  <c:v>B员工</c:v>
                </c:pt>
              </c:strCache>
            </c:strRef>
          </c:tx>
          <c:spPr>
            <a:solidFill>
              <a:schemeClr val="tx2">
                <a:lumMod val="20000"/>
                <a:lumOff val="80000"/>
              </a:schemeClr>
            </a:solidFill>
            <a:ln>
              <a:noFill/>
            </a:ln>
            <a:effectLst/>
          </c:spPr>
          <c:cat>
            <c:strRef>
              <c:f>其它图表!$C$62:$G$62</c:f>
              <c:strCache>
                <c:ptCount val="5"/>
                <c:pt idx="0">
                  <c:v>完单数</c:v>
                </c:pt>
                <c:pt idx="1">
                  <c:v>午高峰出勤</c:v>
                </c:pt>
                <c:pt idx="2">
                  <c:v>晚高峰出勤</c:v>
                </c:pt>
                <c:pt idx="3">
                  <c:v>在线时长</c:v>
                </c:pt>
                <c:pt idx="4">
                  <c:v>背单时长</c:v>
                </c:pt>
              </c:strCache>
            </c:strRef>
          </c:cat>
          <c:val>
            <c:numRef>
              <c:f>其它图表!$C$64:$G$64</c:f>
              <c:numCache>
                <c:formatCode>General</c:formatCode>
                <c:ptCount val="5"/>
                <c:pt idx="0">
                  <c:v>50</c:v>
                </c:pt>
                <c:pt idx="1">
                  <c:v>80</c:v>
                </c:pt>
                <c:pt idx="2">
                  <c:v>85</c:v>
                </c:pt>
                <c:pt idx="3">
                  <c:v>11</c:v>
                </c:pt>
                <c:pt idx="4">
                  <c:v>4</c:v>
                </c:pt>
              </c:numCache>
            </c:numRef>
          </c:val>
          <c:extLst>
            <c:ext xmlns:c16="http://schemas.microsoft.com/office/drawing/2014/chart" uri="{C3380CC4-5D6E-409C-BE32-E72D297353CC}">
              <c16:uniqueId val="{00000001-605E-804D-B860-3161744791C1}"/>
            </c:ext>
          </c:extLst>
        </c:ser>
        <c:dLbls>
          <c:showLegendKey val="0"/>
          <c:showVal val="0"/>
          <c:showCatName val="0"/>
          <c:showSerName val="0"/>
          <c:showPercent val="0"/>
          <c:showBubbleSize val="0"/>
        </c:dLbls>
        <c:axId val="1889358207"/>
        <c:axId val="1889355967"/>
      </c:radarChart>
      <c:catAx>
        <c:axId val="188935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zh-CN"/>
          </a:p>
        </c:txPr>
        <c:crossAx val="1889355967"/>
        <c:crosses val="autoZero"/>
        <c:auto val="1"/>
        <c:lblAlgn val="ctr"/>
        <c:lblOffset val="100"/>
        <c:noMultiLvlLbl val="0"/>
      </c:catAx>
      <c:valAx>
        <c:axId val="18893559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893582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Offset动态图表!最后五天日期</c:f>
              <c:numCache>
                <c:formatCode>yyyy/m/d;@</c:formatCode>
                <c:ptCount val="5"/>
                <c:pt idx="0">
                  <c:v>44357</c:v>
                </c:pt>
                <c:pt idx="1">
                  <c:v>44358</c:v>
                </c:pt>
                <c:pt idx="2">
                  <c:v>44362</c:v>
                </c:pt>
                <c:pt idx="3">
                  <c:v>44363</c:v>
                </c:pt>
                <c:pt idx="4">
                  <c:v>44364</c:v>
                </c:pt>
              </c:numCache>
            </c:numRef>
          </c:cat>
          <c:val>
            <c:numRef>
              <c:f>Offset动态图表!最后五天开盘价</c:f>
              <c:numCache>
                <c:formatCode>General</c:formatCode>
                <c:ptCount val="5"/>
                <c:pt idx="0">
                  <c:v>2238.48</c:v>
                </c:pt>
                <c:pt idx="1">
                  <c:v>2178.81</c:v>
                </c:pt>
                <c:pt idx="2">
                  <c:v>2193</c:v>
                </c:pt>
                <c:pt idx="3">
                  <c:v>2158</c:v>
                </c:pt>
                <c:pt idx="4">
                  <c:v>2156.91</c:v>
                </c:pt>
              </c:numCache>
            </c:numRef>
          </c:val>
          <c:smooth val="0"/>
          <c:extLst>
            <c:ext xmlns:c16="http://schemas.microsoft.com/office/drawing/2014/chart" uri="{C3380CC4-5D6E-409C-BE32-E72D297353CC}">
              <c16:uniqueId val="{00000000-E956-5D44-9DAB-D03EFD20E188}"/>
            </c:ext>
          </c:extLst>
        </c:ser>
        <c:dLbls>
          <c:dLblPos val="t"/>
          <c:showLegendKey val="0"/>
          <c:showVal val="1"/>
          <c:showCatName val="0"/>
          <c:showSerName val="0"/>
          <c:showPercent val="0"/>
          <c:showBubbleSize val="0"/>
        </c:dLbls>
        <c:smooth val="0"/>
        <c:axId val="1016265600"/>
        <c:axId val="223781183"/>
      </c:lineChart>
      <c:dateAx>
        <c:axId val="1016265600"/>
        <c:scaling>
          <c:orientation val="minMax"/>
        </c:scaling>
        <c:delete val="0"/>
        <c:axPos val="b"/>
        <c:numFmt formatCode="yyyy/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23781183"/>
        <c:crosses val="autoZero"/>
        <c:auto val="1"/>
        <c:lblOffset val="100"/>
        <c:baseTimeUnit val="days"/>
      </c:dateAx>
      <c:valAx>
        <c:axId val="223781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1626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我的练习!$B$1</c:f>
              <c:strCache>
                <c:ptCount val="1"/>
                <c:pt idx="0">
                  <c:v>推单量</c:v>
                </c:pt>
              </c:strCache>
            </c:strRef>
          </c:tx>
          <c:spPr>
            <a:noFill/>
            <a:ln w="31750">
              <a:solidFill>
                <a:srgbClr val="FF0000"/>
              </a:solidFill>
            </a:ln>
            <a:effectLst/>
          </c:spPr>
          <c:invertIfNegative val="0"/>
          <c:cat>
            <c:strRef>
              <c:f>我的练习!$A$2:$A$9</c:f>
              <c:strCache>
                <c:ptCount val="8"/>
                <c:pt idx="0">
                  <c:v>新乡合并经营</c:v>
                </c:pt>
                <c:pt idx="1">
                  <c:v>川汇区</c:v>
                </c:pt>
                <c:pt idx="2">
                  <c:v>兖州区</c:v>
                </c:pt>
                <c:pt idx="3">
                  <c:v>项城</c:v>
                </c:pt>
                <c:pt idx="4">
                  <c:v>辉县</c:v>
                </c:pt>
                <c:pt idx="5">
                  <c:v>新乡</c:v>
                </c:pt>
                <c:pt idx="6">
                  <c:v>卫辉</c:v>
                </c:pt>
                <c:pt idx="7">
                  <c:v>延津</c:v>
                </c:pt>
              </c:strCache>
            </c:strRef>
          </c:cat>
          <c:val>
            <c:numRef>
              <c:f>我的练习!$B$2:$B$9</c:f>
              <c:numCache>
                <c:formatCode>General</c:formatCode>
                <c:ptCount val="8"/>
                <c:pt idx="0">
                  <c:v>45000</c:v>
                </c:pt>
                <c:pt idx="1">
                  <c:v>25000</c:v>
                </c:pt>
                <c:pt idx="2">
                  <c:v>11000</c:v>
                </c:pt>
                <c:pt idx="3">
                  <c:v>7000</c:v>
                </c:pt>
                <c:pt idx="4">
                  <c:v>6650</c:v>
                </c:pt>
                <c:pt idx="5">
                  <c:v>1200</c:v>
                </c:pt>
                <c:pt idx="6">
                  <c:v>1100</c:v>
                </c:pt>
                <c:pt idx="7">
                  <c:v>900</c:v>
                </c:pt>
              </c:numCache>
            </c:numRef>
          </c:val>
          <c:extLst>
            <c:ext xmlns:c16="http://schemas.microsoft.com/office/drawing/2014/chart" uri="{C3380CC4-5D6E-409C-BE32-E72D297353CC}">
              <c16:uniqueId val="{00000000-39FF-404A-AE10-062C8AA42974}"/>
            </c:ext>
          </c:extLst>
        </c:ser>
        <c:ser>
          <c:idx val="1"/>
          <c:order val="1"/>
          <c:tx>
            <c:strRef>
              <c:f>我的练习!$C$1</c:f>
              <c:strCache>
                <c:ptCount val="1"/>
                <c:pt idx="0">
                  <c:v>妥投单</c:v>
                </c:pt>
              </c:strCache>
            </c:strRef>
          </c:tx>
          <c:spPr>
            <a:solidFill>
              <a:schemeClr val="accent1">
                <a:alpha val="95000"/>
              </a:schemeClr>
            </a:solidFill>
            <a:ln>
              <a:noFill/>
            </a:ln>
            <a:effectLst/>
          </c:spPr>
          <c:invertIfNegative val="0"/>
          <c:dPt>
            <c:idx val="0"/>
            <c:invertIfNegative val="0"/>
            <c:bubble3D val="0"/>
            <c:spPr>
              <a:solidFill>
                <a:schemeClr val="accent1">
                  <a:alpha val="95000"/>
                </a:schemeClr>
              </a:solidFill>
              <a:ln>
                <a:noFill/>
              </a:ln>
              <a:effectLst/>
            </c:spPr>
            <c:extLst>
              <c:ext xmlns:c16="http://schemas.microsoft.com/office/drawing/2014/chart" uri="{C3380CC4-5D6E-409C-BE32-E72D297353CC}">
                <c16:uniqueId val="{00000003-39FF-404A-AE10-062C8AA42974}"/>
              </c:ext>
            </c:extLst>
          </c:dPt>
          <c:cat>
            <c:strRef>
              <c:f>我的练习!$A$2:$A$9</c:f>
              <c:strCache>
                <c:ptCount val="8"/>
                <c:pt idx="0">
                  <c:v>新乡合并经营</c:v>
                </c:pt>
                <c:pt idx="1">
                  <c:v>川汇区</c:v>
                </c:pt>
                <c:pt idx="2">
                  <c:v>兖州区</c:v>
                </c:pt>
                <c:pt idx="3">
                  <c:v>项城</c:v>
                </c:pt>
                <c:pt idx="4">
                  <c:v>辉县</c:v>
                </c:pt>
                <c:pt idx="5">
                  <c:v>新乡</c:v>
                </c:pt>
                <c:pt idx="6">
                  <c:v>卫辉</c:v>
                </c:pt>
                <c:pt idx="7">
                  <c:v>延津</c:v>
                </c:pt>
              </c:strCache>
            </c:strRef>
          </c:cat>
          <c:val>
            <c:numRef>
              <c:f>我的练习!$C$2:$C$9</c:f>
              <c:numCache>
                <c:formatCode>General</c:formatCode>
                <c:ptCount val="8"/>
                <c:pt idx="0">
                  <c:v>44521</c:v>
                </c:pt>
                <c:pt idx="1">
                  <c:v>24821</c:v>
                </c:pt>
                <c:pt idx="2">
                  <c:v>10798</c:v>
                </c:pt>
                <c:pt idx="3">
                  <c:v>6799</c:v>
                </c:pt>
                <c:pt idx="4">
                  <c:v>6550</c:v>
                </c:pt>
                <c:pt idx="5">
                  <c:v>1189</c:v>
                </c:pt>
                <c:pt idx="6">
                  <c:v>1098</c:v>
                </c:pt>
                <c:pt idx="7">
                  <c:v>893</c:v>
                </c:pt>
              </c:numCache>
            </c:numRef>
          </c:val>
          <c:extLst>
            <c:ext xmlns:c16="http://schemas.microsoft.com/office/drawing/2014/chart" uri="{C3380CC4-5D6E-409C-BE32-E72D297353CC}">
              <c16:uniqueId val="{00000001-39FF-404A-AE10-062C8AA42974}"/>
            </c:ext>
          </c:extLst>
        </c:ser>
        <c:dLbls>
          <c:showLegendKey val="0"/>
          <c:showVal val="0"/>
          <c:showCatName val="0"/>
          <c:showSerName val="0"/>
          <c:showPercent val="0"/>
          <c:showBubbleSize val="0"/>
        </c:dLbls>
        <c:gapWidth val="60"/>
        <c:overlap val="88"/>
        <c:axId val="1456958847"/>
        <c:axId val="1456949439"/>
      </c:barChart>
      <c:lineChart>
        <c:grouping val="standard"/>
        <c:varyColors val="0"/>
        <c:ser>
          <c:idx val="2"/>
          <c:order val="2"/>
          <c:tx>
            <c:strRef>
              <c:f>我的练习!$D$1</c:f>
              <c:strCache>
                <c:ptCount val="1"/>
                <c:pt idx="0">
                  <c:v>妥投率</c:v>
                </c:pt>
              </c:strCache>
            </c:strRef>
          </c:tx>
          <c:spPr>
            <a:ln w="28575" cap="rnd">
              <a:solidFill>
                <a:srgbClr val="FFC000"/>
              </a:solidFill>
              <a:round/>
            </a:ln>
            <a:effectLst/>
          </c:spPr>
          <c:marker>
            <c:symbol val="square"/>
            <c:size val="6"/>
            <c:spPr>
              <a:solidFill>
                <a:srgbClr val="FFC000"/>
              </a:solidFill>
              <a:ln w="9525">
                <a:solidFill>
                  <a:srgbClr val="FFC000"/>
                </a:solidFill>
              </a:ln>
              <a:effectLst/>
            </c:spPr>
          </c:marker>
          <c:dLbls>
            <c:spPr>
              <a:solidFill>
                <a:schemeClr val="tx1">
                  <a:lumMod val="75000"/>
                  <a:lumOff val="25000"/>
                  <a:alpha val="85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我的练习!$A$2:$A$9</c:f>
              <c:strCache>
                <c:ptCount val="8"/>
                <c:pt idx="0">
                  <c:v>新乡合并经营</c:v>
                </c:pt>
                <c:pt idx="1">
                  <c:v>川汇区</c:v>
                </c:pt>
                <c:pt idx="2">
                  <c:v>兖州区</c:v>
                </c:pt>
                <c:pt idx="3">
                  <c:v>项城</c:v>
                </c:pt>
                <c:pt idx="4">
                  <c:v>辉县</c:v>
                </c:pt>
                <c:pt idx="5">
                  <c:v>新乡</c:v>
                </c:pt>
                <c:pt idx="6">
                  <c:v>卫辉</c:v>
                </c:pt>
                <c:pt idx="7">
                  <c:v>延津</c:v>
                </c:pt>
              </c:strCache>
            </c:strRef>
          </c:cat>
          <c:val>
            <c:numRef>
              <c:f>我的练习!$D$2:$D$9</c:f>
              <c:numCache>
                <c:formatCode>0.00%</c:formatCode>
                <c:ptCount val="8"/>
                <c:pt idx="0">
                  <c:v>0.98935555555555554</c:v>
                </c:pt>
                <c:pt idx="1">
                  <c:v>0.99283999999999994</c:v>
                </c:pt>
                <c:pt idx="2">
                  <c:v>0.98163636363636364</c:v>
                </c:pt>
                <c:pt idx="3">
                  <c:v>0.97128571428571431</c:v>
                </c:pt>
                <c:pt idx="4">
                  <c:v>0.98496240601503759</c:v>
                </c:pt>
                <c:pt idx="5">
                  <c:v>0.99083333333333334</c:v>
                </c:pt>
                <c:pt idx="6">
                  <c:v>0.99818181818181817</c:v>
                </c:pt>
                <c:pt idx="7">
                  <c:v>0.99222222222222223</c:v>
                </c:pt>
              </c:numCache>
            </c:numRef>
          </c:val>
          <c:smooth val="0"/>
          <c:extLst>
            <c:ext xmlns:c16="http://schemas.microsoft.com/office/drawing/2014/chart" uri="{C3380CC4-5D6E-409C-BE32-E72D297353CC}">
              <c16:uniqueId val="{00000002-39FF-404A-AE10-062C8AA42974}"/>
            </c:ext>
          </c:extLst>
        </c:ser>
        <c:dLbls>
          <c:showLegendKey val="0"/>
          <c:showVal val="0"/>
          <c:showCatName val="0"/>
          <c:showSerName val="0"/>
          <c:showPercent val="0"/>
          <c:showBubbleSize val="0"/>
        </c:dLbls>
        <c:marker val="1"/>
        <c:smooth val="0"/>
        <c:axId val="1467878911"/>
        <c:axId val="1467876223"/>
      </c:lineChart>
      <c:catAx>
        <c:axId val="145695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456949439"/>
        <c:crosses val="autoZero"/>
        <c:auto val="1"/>
        <c:lblAlgn val="ctr"/>
        <c:lblOffset val="100"/>
        <c:noMultiLvlLbl val="0"/>
      </c:catAx>
      <c:valAx>
        <c:axId val="1456949439"/>
        <c:scaling>
          <c:orientation val="minMax"/>
          <c:max val="6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456958847"/>
        <c:crosses val="autoZero"/>
        <c:crossBetween val="between"/>
      </c:valAx>
      <c:valAx>
        <c:axId val="1467876223"/>
        <c:scaling>
          <c:orientation val="minMax"/>
          <c:max val="1"/>
          <c:min val="0.9"/>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467878911"/>
        <c:crosses val="max"/>
        <c:crossBetween val="between"/>
      </c:valAx>
      <c:catAx>
        <c:axId val="1467878911"/>
        <c:scaling>
          <c:orientation val="minMax"/>
        </c:scaling>
        <c:delete val="1"/>
        <c:axPos val="b"/>
        <c:numFmt formatCode="General" sourceLinked="1"/>
        <c:majorTickMark val="out"/>
        <c:minorTickMark val="none"/>
        <c:tickLblPos val="nextTo"/>
        <c:crossAx val="146787622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00000000-8AB7-A94C-8831-50B1B396E1F1}">
          <cx:tx>
            <cx:txData>
              <cx:f>_xlchart.v1.1</cx:f>
              <cx:v>求和项:金额</cx:v>
            </cx:txData>
          </cx:tx>
          <cx:dataPt idx="0">
            <cx:spPr>
              <a:solidFill>
                <a:srgbClr val="4F81BD">
                  <a:lumMod val="50000"/>
                </a:srgbClr>
              </a:solidFill>
            </cx:spPr>
          </cx:dataPt>
          <cx:dataPt idx="7">
            <cx:spPr>
              <a:solidFill>
                <a:srgbClr val="C0504D">
                  <a:lumMod val="60000"/>
                  <a:lumOff val="40000"/>
                </a:srgbClr>
              </a:solidFill>
            </cx:spPr>
          </cx:dataPt>
          <cx:dataPt idx="19">
            <cx:spPr>
              <a:solidFill>
                <a:srgbClr val="1F497D">
                  <a:lumMod val="60000"/>
                  <a:lumOff val="40000"/>
                </a:srgbClr>
              </a:solidFill>
            </cx:spPr>
          </cx:dataPt>
          <cx:dataPt idx="26">
            <cx:spPr>
              <a:solidFill>
                <a:srgbClr val="F79646">
                  <a:lumMod val="60000"/>
                  <a:lumOff val="40000"/>
                </a:srgbClr>
              </a:solidFill>
            </cx:spPr>
          </cx:dataPt>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G$1"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Drop" dropStyle="combo" dx="15" fmlaLink="$G$2" fmlaRange="$F$1:$F$4" noThreeD="1" sel="4" val="0"/>
</file>

<file path=xl/ctrlProps/ctrlProp6.xml><?xml version="1.0" encoding="utf-8"?>
<formControlPr xmlns="http://schemas.microsoft.com/office/spreadsheetml/2009/9/main" objectType="CheckBox" checked="Checked" fmlaLink="$B$26" lockText="1" noThreeD="1"/>
</file>

<file path=xl/ctrlProps/ctrlProp7.xml><?xml version="1.0" encoding="utf-8"?>
<formControlPr xmlns="http://schemas.microsoft.com/office/spreadsheetml/2009/9/main" objectType="CheckBox" fmlaLink="$C$26" lockText="1" noThreeD="1"/>
</file>

<file path=xl/ctrlProps/ctrlProp8.xml><?xml version="1.0" encoding="utf-8"?>
<formControlPr xmlns="http://schemas.microsoft.com/office/spreadsheetml/2009/9/main" objectType="CheckBox" checked="Checked" fmlaLink="$E$26" lockText="1" noThreeD="1"/>
</file>

<file path=xl/ctrlProps/ctrlProp9.xml><?xml version="1.0" encoding="utf-8"?>
<formControlPr xmlns="http://schemas.microsoft.com/office/spreadsheetml/2009/9/main" objectType="CheckBox" checked="Checked" fmlaLink="$D$26" lockText="1" noThreeD="1"/>
</file>

<file path=xl/ctrlProps/ctrlProp10.xml><?xml version="1.0" encoding="utf-8"?>
<formControlPr xmlns="http://schemas.microsoft.com/office/spreadsheetml/2009/9/main" objectType="Scroll" dx="15" fmlaLink="$C$45" horiz="1" max="100" min="1" noThreeD="1" page="10"/>
</file>

<file path=xl/ctrlProps/ctrlProp11.xml><?xml version="1.0" encoding="utf-8"?>
<formControlPr xmlns="http://schemas.microsoft.com/office/spreadsheetml/2009/9/main" objectType="Scroll" dx="15" fmlaLink="$B$41" horiz="1" max="70" min="40" page="10" val="52"/>
</file>

<file path=xl/ctrlProps/ctrlProp12.xml><?xml version="1.0" encoding="utf-8"?>
<formControlPr xmlns="http://schemas.microsoft.com/office/spreadsheetml/2009/9/main" objectType="Scroll" dx="15" fmlaLink="$B$42" horiz="1" max="100" min="70" page="10" val="87"/>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5" Type="http://schemas.microsoft.com/office/2014/relationships/chartEx" Target="../charts/chartEx1.xml"/><Relationship Id="rId4" Type="http://schemas.openxmlformats.org/officeDocument/2006/relationships/chart" Target="../charts/chart2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editAs="absolute">
    <xdr:from>
      <xdr:col>6</xdr:col>
      <xdr:colOff>12699</xdr:colOff>
      <xdr:row>0</xdr:row>
      <xdr:rowOff>0</xdr:rowOff>
    </xdr:from>
    <xdr:to>
      <xdr:col>11</xdr:col>
      <xdr:colOff>457199</xdr:colOff>
      <xdr:row>14</xdr:row>
      <xdr:rowOff>93134</xdr:rowOff>
    </xdr:to>
    <xdr:graphicFrame macro="">
      <xdr:nvGraphicFramePr>
        <xdr:cNvPr id="2" name="图表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0</xdr:colOff>
      <xdr:row>15</xdr:row>
      <xdr:rowOff>10583</xdr:rowOff>
    </xdr:from>
    <xdr:to>
      <xdr:col>11</xdr:col>
      <xdr:colOff>444499</xdr:colOff>
      <xdr:row>29</xdr:row>
      <xdr:rowOff>127000</xdr:rowOff>
    </xdr:to>
    <xdr:graphicFrame macro="">
      <xdr:nvGraphicFramePr>
        <xdr:cNvPr id="3" name="图表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10583</xdr:colOff>
      <xdr:row>29</xdr:row>
      <xdr:rowOff>105833</xdr:rowOff>
    </xdr:from>
    <xdr:to>
      <xdr:col>11</xdr:col>
      <xdr:colOff>455083</xdr:colOff>
      <xdr:row>53</xdr:row>
      <xdr:rowOff>96309</xdr:rowOff>
    </xdr:to>
    <xdr:graphicFrame macro="">
      <xdr:nvGraphicFramePr>
        <xdr:cNvPr id="4" name="图表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xdr:colOff>
      <xdr:row>53</xdr:row>
      <xdr:rowOff>116417</xdr:rowOff>
    </xdr:from>
    <xdr:to>
      <xdr:col>11</xdr:col>
      <xdr:colOff>476251</xdr:colOff>
      <xdr:row>77</xdr:row>
      <xdr:rowOff>84667</xdr:rowOff>
    </xdr:to>
    <xdr:graphicFrame macro="">
      <xdr:nvGraphicFramePr>
        <xdr:cNvPr id="5" name="图表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xdr:colOff>
      <xdr:row>77</xdr:row>
      <xdr:rowOff>99483</xdr:rowOff>
    </xdr:from>
    <xdr:to>
      <xdr:col>11</xdr:col>
      <xdr:colOff>486833</xdr:colOff>
      <xdr:row>100</xdr:row>
      <xdr:rowOff>21167</xdr:rowOff>
    </xdr:to>
    <xdr:graphicFrame macro="">
      <xdr:nvGraphicFramePr>
        <xdr:cNvPr id="6" name="图表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825499</xdr:colOff>
      <xdr:row>100</xdr:row>
      <xdr:rowOff>31750</xdr:rowOff>
    </xdr:from>
    <xdr:to>
      <xdr:col>11</xdr:col>
      <xdr:colOff>497416</xdr:colOff>
      <xdr:row>125</xdr:row>
      <xdr:rowOff>11643</xdr:rowOff>
    </xdr:to>
    <xdr:graphicFrame macro="">
      <xdr:nvGraphicFramePr>
        <xdr:cNvPr id="7" name="图表 6">
          <a:extLst>
            <a:ext uri="{FF2B5EF4-FFF2-40B4-BE49-F238E27FC236}">
              <a16:creationId xmlns:a16="http://schemas.microsoft.com/office/drawing/2014/main" id="{00000000-0008-0000-01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21166</xdr:rowOff>
    </xdr:from>
    <xdr:to>
      <xdr:col>12</xdr:col>
      <xdr:colOff>444500</xdr:colOff>
      <xdr:row>14</xdr:row>
      <xdr:rowOff>97366</xdr:rowOff>
    </xdr:to>
    <xdr:graphicFrame macro="">
      <xdr:nvGraphicFramePr>
        <xdr:cNvPr id="2" name="图表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825499</xdr:colOff>
      <xdr:row>14</xdr:row>
      <xdr:rowOff>110066</xdr:rowOff>
    </xdr:from>
    <xdr:to>
      <xdr:col>12</xdr:col>
      <xdr:colOff>444499</xdr:colOff>
      <xdr:row>28</xdr:row>
      <xdr:rowOff>186266</xdr:rowOff>
    </xdr:to>
    <xdr:graphicFrame macro="">
      <xdr:nvGraphicFramePr>
        <xdr:cNvPr id="3" name="图表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xdr:colOff>
      <xdr:row>28</xdr:row>
      <xdr:rowOff>190499</xdr:rowOff>
    </xdr:from>
    <xdr:to>
      <xdr:col>12</xdr:col>
      <xdr:colOff>444501</xdr:colOff>
      <xdr:row>45</xdr:row>
      <xdr:rowOff>10582</xdr:rowOff>
    </xdr:to>
    <xdr:graphicFrame macro="">
      <xdr:nvGraphicFramePr>
        <xdr:cNvPr id="4" name="图表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6</xdr:col>
      <xdr:colOff>0</xdr:colOff>
      <xdr:row>45</xdr:row>
      <xdr:rowOff>21167</xdr:rowOff>
    </xdr:from>
    <xdr:to>
      <xdr:col>12</xdr:col>
      <xdr:colOff>444500</xdr:colOff>
      <xdr:row>60</xdr:row>
      <xdr:rowOff>76200</xdr:rowOff>
    </xdr:to>
    <xdr:graphicFrame macro="">
      <xdr:nvGraphicFramePr>
        <xdr:cNvPr id="5" name="图表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825499</xdr:colOff>
      <xdr:row>67</xdr:row>
      <xdr:rowOff>0</xdr:rowOff>
    </xdr:from>
    <xdr:to>
      <xdr:col>12</xdr:col>
      <xdr:colOff>391582</xdr:colOff>
      <xdr:row>81</xdr:row>
      <xdr:rowOff>76200</xdr:rowOff>
    </xdr:to>
    <xdr:graphicFrame macro="">
      <xdr:nvGraphicFramePr>
        <xdr:cNvPr id="6" name="图表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21165</xdr:colOff>
      <xdr:row>1</xdr:row>
      <xdr:rowOff>10584</xdr:rowOff>
    </xdr:from>
    <xdr:to>
      <xdr:col>15</xdr:col>
      <xdr:colOff>793748</xdr:colOff>
      <xdr:row>21</xdr:row>
      <xdr:rowOff>10584</xdr:rowOff>
    </xdr:to>
    <xdr:grpSp>
      <xdr:nvGrpSpPr>
        <xdr:cNvPr id="6" name="组合 5">
          <a:extLst>
            <a:ext uri="{FF2B5EF4-FFF2-40B4-BE49-F238E27FC236}">
              <a16:creationId xmlns:a16="http://schemas.microsoft.com/office/drawing/2014/main" id="{00000000-0008-0000-0300-000006000000}"/>
            </a:ext>
          </a:extLst>
        </xdr:cNvPr>
        <xdr:cNvGrpSpPr/>
      </xdr:nvGrpSpPr>
      <xdr:grpSpPr>
        <a:xfrm>
          <a:off x="8572498" y="201084"/>
          <a:ext cx="4900083" cy="3810000"/>
          <a:chOff x="8286749" y="508000"/>
          <a:chExt cx="4900083" cy="3810000"/>
        </a:xfrm>
      </xdr:grpSpPr>
      <xdr:graphicFrame macro="">
        <xdr:nvGraphicFramePr>
          <xdr:cNvPr id="5" name="图表 4">
            <a:extLst>
              <a:ext uri="{FF2B5EF4-FFF2-40B4-BE49-F238E27FC236}">
                <a16:creationId xmlns:a16="http://schemas.microsoft.com/office/drawing/2014/main" id="{00000000-0008-0000-0300-000005000000}"/>
              </a:ext>
            </a:extLst>
          </xdr:cNvPr>
          <xdr:cNvGraphicFramePr/>
        </xdr:nvGraphicFramePr>
        <xdr:xfrm>
          <a:off x="8286749" y="508000"/>
          <a:ext cx="4900083" cy="3810000"/>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mc:Choice xmlns:a14="http://schemas.microsoft.com/office/drawing/2010/main" Requires="a14">
          <xdr:grpSp>
            <xdr:nvGrpSpPr>
              <xdr:cNvPr id="3" name="组合 2">
                <a:extLst>
                  <a:ext uri="{FF2B5EF4-FFF2-40B4-BE49-F238E27FC236}">
                    <a16:creationId xmlns:a16="http://schemas.microsoft.com/office/drawing/2014/main" id="{00000000-0008-0000-0300-000003000000}"/>
                  </a:ext>
                </a:extLst>
              </xdr:cNvPr>
              <xdr:cNvGrpSpPr/>
            </xdr:nvGrpSpPr>
            <xdr:grpSpPr>
              <a:xfrm>
                <a:off x="8583084" y="687918"/>
                <a:ext cx="4275665" cy="383116"/>
                <a:chOff x="4900085" y="878417"/>
                <a:chExt cx="5018615" cy="383116"/>
              </a:xfrm>
            </xdr:grpSpPr>
            <xdr:sp macro="" textlink="">
              <xdr:nvSpPr>
                <xdr:cNvPr id="7173" name="Option Button 5" hidden="1">
                  <a:extLst>
                    <a:ext uri="{63B3BB69-23CF-44E3-9099-C40C66FF867C}">
                      <a14:compatExt spid="_x0000_s7173"/>
                    </a:ext>
                    <a:ext uri="{FF2B5EF4-FFF2-40B4-BE49-F238E27FC236}">
                      <a16:creationId xmlns:a16="http://schemas.microsoft.com/office/drawing/2014/main" id="{00000000-0008-0000-0300-0000051C0000}"/>
                    </a:ext>
                  </a:extLst>
                </xdr:cNvPr>
                <xdr:cNvSpPr/>
              </xdr:nvSpPr>
              <xdr:spPr bwMode="auto">
                <a:xfrm>
                  <a:off x="4900085" y="878417"/>
                  <a:ext cx="1524000" cy="383116"/>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CN" altLang="en-US" sz="1440" b="0" i="0" u="none" strike="noStrike" baseline="0">
                      <a:solidFill>
                        <a:srgbClr val="000000"/>
                      </a:solidFill>
                      <a:latin typeface="宋体" charset="-122"/>
                      <a:ea typeface="宋体" charset="-122"/>
                    </a:rPr>
                    <a:t>彩盒</a:t>
                  </a:r>
                </a:p>
              </xdr:txBody>
            </xdr:sp>
            <xdr:sp macro="" textlink="">
              <xdr:nvSpPr>
                <xdr:cNvPr id="7174" name="Option Button 6" hidden="1">
                  <a:extLst>
                    <a:ext uri="{63B3BB69-23CF-44E3-9099-C40C66FF867C}">
                      <a14:compatExt spid="_x0000_s7174"/>
                    </a:ext>
                    <a:ext uri="{FF2B5EF4-FFF2-40B4-BE49-F238E27FC236}">
                      <a16:creationId xmlns:a16="http://schemas.microsoft.com/office/drawing/2014/main" id="{00000000-0008-0000-0300-0000061C0000}"/>
                    </a:ext>
                  </a:extLst>
                </xdr:cNvPr>
                <xdr:cNvSpPr/>
              </xdr:nvSpPr>
              <xdr:spPr bwMode="auto">
                <a:xfrm>
                  <a:off x="6064956" y="878417"/>
                  <a:ext cx="1524000" cy="381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1440" b="0" i="0" u="none" strike="noStrike" baseline="0">
                      <a:solidFill>
                        <a:srgbClr val="000000"/>
                      </a:solidFill>
                      <a:latin typeface="等线" charset="-122"/>
                      <a:ea typeface="等线" charset="-122"/>
                    </a:rPr>
                    <a:t>宠物用品</a:t>
                  </a:r>
                </a:p>
              </xdr:txBody>
            </xdr:sp>
            <xdr:sp macro="" textlink="">
              <xdr:nvSpPr>
                <xdr:cNvPr id="7175" name="Option Button 7" hidden="1">
                  <a:extLst>
                    <a:ext uri="{63B3BB69-23CF-44E3-9099-C40C66FF867C}">
                      <a14:compatExt spid="_x0000_s7175"/>
                    </a:ext>
                    <a:ext uri="{FF2B5EF4-FFF2-40B4-BE49-F238E27FC236}">
                      <a16:creationId xmlns:a16="http://schemas.microsoft.com/office/drawing/2014/main" id="{00000000-0008-0000-0300-0000071C0000}"/>
                    </a:ext>
                  </a:extLst>
                </xdr:cNvPr>
                <xdr:cNvSpPr/>
              </xdr:nvSpPr>
              <xdr:spPr bwMode="auto">
                <a:xfrm>
                  <a:off x="7229829" y="878417"/>
                  <a:ext cx="1524000" cy="381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1440" b="0" i="0" u="none" strike="noStrike" baseline="0">
                      <a:solidFill>
                        <a:srgbClr val="000000"/>
                      </a:solidFill>
                      <a:latin typeface="等线" charset="-122"/>
                      <a:ea typeface="等线" charset="-122"/>
                    </a:rPr>
                    <a:t>警告标</a:t>
                  </a:r>
                </a:p>
              </xdr:txBody>
            </xdr:sp>
            <xdr:sp macro="" textlink="">
              <xdr:nvSpPr>
                <xdr:cNvPr id="7176" name="Option Button 8" hidden="1">
                  <a:extLst>
                    <a:ext uri="{63B3BB69-23CF-44E3-9099-C40C66FF867C}">
                      <a14:compatExt spid="_x0000_s7176"/>
                    </a:ext>
                    <a:ext uri="{FF2B5EF4-FFF2-40B4-BE49-F238E27FC236}">
                      <a16:creationId xmlns:a16="http://schemas.microsoft.com/office/drawing/2014/main" id="{00000000-0008-0000-0300-0000081C0000}"/>
                    </a:ext>
                  </a:extLst>
                </xdr:cNvPr>
                <xdr:cNvSpPr/>
              </xdr:nvSpPr>
              <xdr:spPr bwMode="auto">
                <a:xfrm>
                  <a:off x="8394700" y="878417"/>
                  <a:ext cx="1524000" cy="381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1440" b="0" i="0" u="none" strike="noStrike" baseline="0">
                      <a:solidFill>
                        <a:srgbClr val="000000"/>
                      </a:solidFill>
                      <a:latin typeface="等线" charset="-122"/>
                      <a:ea typeface="等线" charset="-122"/>
                    </a:rPr>
                    <a:t>暖靴</a:t>
                  </a:r>
                </a:p>
              </xdr:txBody>
            </xdr:sp>
          </xdr:grpSp>
        </mc:Choice>
        <mc:Fallback/>
      </mc:AlternateContent>
    </xdr:grpSp>
    <xdr:clientData/>
  </xdr:twoCellAnchor>
  <mc:AlternateContent xmlns:mc="http://schemas.openxmlformats.org/markup-compatibility/2006">
    <mc:Choice xmlns:a14="http://schemas.microsoft.com/office/drawing/2010/main" Requires="a14">
      <xdr:twoCellAnchor editAs="oneCell">
        <xdr:from>
          <xdr:col>6</xdr:col>
          <xdr:colOff>800100</xdr:colOff>
          <xdr:row>14</xdr:row>
          <xdr:rowOff>88900</xdr:rowOff>
        </xdr:from>
        <xdr:to>
          <xdr:col>9</xdr:col>
          <xdr:colOff>0</xdr:colOff>
          <xdr:row>15</xdr:row>
          <xdr:rowOff>114300</xdr:rowOff>
        </xdr:to>
        <xdr:sp macro="" textlink="">
          <xdr:nvSpPr>
            <xdr:cNvPr id="7183" name="Drop Down 15" hidden="1">
              <a:extLst>
                <a:ext uri="{63B3BB69-23CF-44E3-9099-C40C66FF867C}">
                  <a14:compatExt spid="_x0000_s7183"/>
                </a:ext>
                <a:ext uri="{FF2B5EF4-FFF2-40B4-BE49-F238E27FC236}">
                  <a16:creationId xmlns:a16="http://schemas.microsoft.com/office/drawing/2014/main" id="{00000000-0008-0000-0300-00000F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6</xdr:col>
      <xdr:colOff>21167</xdr:colOff>
      <xdr:row>22</xdr:row>
      <xdr:rowOff>25400</xdr:rowOff>
    </xdr:from>
    <xdr:to>
      <xdr:col>15</xdr:col>
      <xdr:colOff>1</xdr:colOff>
      <xdr:row>42</xdr:row>
      <xdr:rowOff>0</xdr:rowOff>
    </xdr:to>
    <xdr:grpSp>
      <xdr:nvGrpSpPr>
        <xdr:cNvPr id="9" name="组合 8">
          <a:extLst>
            <a:ext uri="{FF2B5EF4-FFF2-40B4-BE49-F238E27FC236}">
              <a16:creationId xmlns:a16="http://schemas.microsoft.com/office/drawing/2014/main" id="{00000000-0008-0000-0300-000009000000}"/>
            </a:ext>
          </a:extLst>
        </xdr:cNvPr>
        <xdr:cNvGrpSpPr/>
      </xdr:nvGrpSpPr>
      <xdr:grpSpPr>
        <a:xfrm>
          <a:off x="5270500" y="4216400"/>
          <a:ext cx="7408334" cy="3784600"/>
          <a:chOff x="4953000" y="4195233"/>
          <a:chExt cx="7408334" cy="3784600"/>
        </a:xfrm>
      </xdr:grpSpPr>
      <xdr:graphicFrame macro="">
        <xdr:nvGraphicFramePr>
          <xdr:cNvPr id="8" name="图表 7">
            <a:extLst>
              <a:ext uri="{FF2B5EF4-FFF2-40B4-BE49-F238E27FC236}">
                <a16:creationId xmlns:a16="http://schemas.microsoft.com/office/drawing/2014/main" id="{00000000-0008-0000-0300-000008000000}"/>
              </a:ext>
            </a:extLst>
          </xdr:cNvPr>
          <xdr:cNvGraphicFramePr/>
        </xdr:nvGraphicFramePr>
        <xdr:xfrm>
          <a:off x="4953000" y="4195233"/>
          <a:ext cx="7408334" cy="3784600"/>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mc:Choice xmlns:a14="http://schemas.microsoft.com/office/drawing/2010/main" Requires="a14">
          <xdr:sp macro="" textlink="">
            <xdr:nvSpPr>
              <xdr:cNvPr id="7184" name="Check Box 16" hidden="1">
                <a:extLst>
                  <a:ext uri="{63B3BB69-23CF-44E3-9099-C40C66FF867C}">
                    <a14:compatExt spid="_x0000_s7184"/>
                  </a:ext>
                  <a:ext uri="{FF2B5EF4-FFF2-40B4-BE49-F238E27FC236}">
                    <a16:creationId xmlns:a16="http://schemas.microsoft.com/office/drawing/2014/main" id="{00000000-0008-0000-0300-0000101C0000}"/>
                  </a:ext>
                </a:extLst>
              </xdr:cNvPr>
              <xdr:cNvSpPr/>
            </xdr:nvSpPr>
            <xdr:spPr bwMode="auto">
              <a:xfrm>
                <a:off x="11172471" y="5630335"/>
                <a:ext cx="289279" cy="245603"/>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7185" name="Check Box 17" hidden="1">
                <a:extLst>
                  <a:ext uri="{63B3BB69-23CF-44E3-9099-C40C66FF867C}">
                    <a14:compatExt spid="_x0000_s7185"/>
                  </a:ext>
                  <a:ext uri="{FF2B5EF4-FFF2-40B4-BE49-F238E27FC236}">
                    <a16:creationId xmlns:a16="http://schemas.microsoft.com/office/drawing/2014/main" id="{00000000-0008-0000-0300-0000111C0000}"/>
                  </a:ext>
                </a:extLst>
              </xdr:cNvPr>
              <xdr:cNvSpPr/>
            </xdr:nvSpPr>
            <xdr:spPr bwMode="auto">
              <a:xfrm>
                <a:off x="11172471" y="5848328"/>
                <a:ext cx="289279" cy="245603"/>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7186" name="Check Box 18" hidden="1">
                <a:extLst>
                  <a:ext uri="{63B3BB69-23CF-44E3-9099-C40C66FF867C}">
                    <a14:compatExt spid="_x0000_s7186"/>
                  </a:ext>
                  <a:ext uri="{FF2B5EF4-FFF2-40B4-BE49-F238E27FC236}">
                    <a16:creationId xmlns:a16="http://schemas.microsoft.com/office/drawing/2014/main" id="{00000000-0008-0000-0300-0000121C0000}"/>
                  </a:ext>
                </a:extLst>
              </xdr:cNvPr>
              <xdr:cNvSpPr/>
            </xdr:nvSpPr>
            <xdr:spPr bwMode="auto">
              <a:xfrm>
                <a:off x="11172471" y="6284315"/>
                <a:ext cx="229014" cy="245603"/>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7187" name="Check Box 19" hidden="1">
                <a:extLst>
                  <a:ext uri="{63B3BB69-23CF-44E3-9099-C40C66FF867C}">
                    <a14:compatExt spid="_x0000_s7187"/>
                  </a:ext>
                  <a:ext uri="{FF2B5EF4-FFF2-40B4-BE49-F238E27FC236}">
                    <a16:creationId xmlns:a16="http://schemas.microsoft.com/office/drawing/2014/main" id="{00000000-0008-0000-0300-0000131C0000}"/>
                  </a:ext>
                </a:extLst>
              </xdr:cNvPr>
              <xdr:cNvSpPr/>
            </xdr:nvSpPr>
            <xdr:spPr bwMode="auto">
              <a:xfrm>
                <a:off x="11172471" y="6066321"/>
                <a:ext cx="271200" cy="245603"/>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xdr:grpSp>
    <xdr:clientData/>
  </xdr:twoCellAnchor>
  <xdr:twoCellAnchor>
    <xdr:from>
      <xdr:col>6</xdr:col>
      <xdr:colOff>10583</xdr:colOff>
      <xdr:row>43</xdr:row>
      <xdr:rowOff>184150</xdr:rowOff>
    </xdr:from>
    <xdr:to>
      <xdr:col>14</xdr:col>
      <xdr:colOff>814917</xdr:colOff>
      <xdr:row>58</xdr:row>
      <xdr:rowOff>69850</xdr:rowOff>
    </xdr:to>
    <xdr:grpSp>
      <xdr:nvGrpSpPr>
        <xdr:cNvPr id="12" name="组合 11">
          <a:extLst>
            <a:ext uri="{FF2B5EF4-FFF2-40B4-BE49-F238E27FC236}">
              <a16:creationId xmlns:a16="http://schemas.microsoft.com/office/drawing/2014/main" id="{00000000-0008-0000-0300-00000C000000}"/>
            </a:ext>
          </a:extLst>
        </xdr:cNvPr>
        <xdr:cNvGrpSpPr/>
      </xdr:nvGrpSpPr>
      <xdr:grpSpPr>
        <a:xfrm>
          <a:off x="5259916" y="8375650"/>
          <a:ext cx="7408334" cy="2743200"/>
          <a:chOff x="4963583" y="8375650"/>
          <a:chExt cx="7408334" cy="2743200"/>
        </a:xfrm>
      </xdr:grpSpPr>
      <xdr:graphicFrame macro="">
        <xdr:nvGraphicFramePr>
          <xdr:cNvPr id="11" name="图表 10">
            <a:extLst>
              <a:ext uri="{FF2B5EF4-FFF2-40B4-BE49-F238E27FC236}">
                <a16:creationId xmlns:a16="http://schemas.microsoft.com/office/drawing/2014/main" id="{00000000-0008-0000-0300-00000B000000}"/>
              </a:ext>
            </a:extLst>
          </xdr:cNvPr>
          <xdr:cNvGraphicFramePr/>
        </xdr:nvGraphicFramePr>
        <xdr:xfrm>
          <a:off x="4963583" y="8375650"/>
          <a:ext cx="7408334" cy="2743200"/>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mc:Choice xmlns:a14="http://schemas.microsoft.com/office/drawing/2010/main" Requires="a14">
          <xdr:sp macro="" textlink="">
            <xdr:nvSpPr>
              <xdr:cNvPr id="7188" name="Scroll Bar 20" hidden="1">
                <a:extLst>
                  <a:ext uri="{63B3BB69-23CF-44E3-9099-C40C66FF867C}">
                    <a14:compatExt spid="_x0000_s7188"/>
                  </a:ext>
                  <a:ext uri="{FF2B5EF4-FFF2-40B4-BE49-F238E27FC236}">
                    <a16:creationId xmlns:a16="http://schemas.microsoft.com/office/drawing/2014/main" id="{00000000-0008-0000-0300-0000141C0000}"/>
                  </a:ext>
                </a:extLst>
              </xdr:cNvPr>
              <xdr:cNvSpPr/>
            </xdr:nvSpPr>
            <xdr:spPr bwMode="auto">
              <a:xfrm>
                <a:off x="10610849" y="8451850"/>
                <a:ext cx="1612901" cy="184150"/>
              </a:xfrm>
              <a:prstGeom prst="rect">
                <a:avLst/>
              </a:prstGeom>
              <a:noFill/>
              <a:ln w="9525">
                <a:miter lim="800000"/>
                <a:headEnd/>
                <a:tailEnd/>
              </a:ln>
            </xdr:spPr>
          </xdr:sp>
        </mc:Choice>
        <mc:Fallback/>
      </mc:AlternateContent>
    </xdr:grp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21166</xdr:colOff>
      <xdr:row>0</xdr:row>
      <xdr:rowOff>21166</xdr:rowOff>
    </xdr:from>
    <xdr:to>
      <xdr:col>10</xdr:col>
      <xdr:colOff>825499</xdr:colOff>
      <xdr:row>14</xdr:row>
      <xdr:rowOff>158749</xdr:rowOff>
    </xdr:to>
    <xdr:graphicFrame macro="">
      <xdr:nvGraphicFramePr>
        <xdr:cNvPr id="2" name="图表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10584</xdr:colOff>
      <xdr:row>21</xdr:row>
      <xdr:rowOff>0</xdr:rowOff>
    </xdr:from>
    <xdr:to>
      <xdr:col>13</xdr:col>
      <xdr:colOff>10584</xdr:colOff>
      <xdr:row>37</xdr:row>
      <xdr:rowOff>69850</xdr:rowOff>
    </xdr:to>
    <xdr:graphicFrame macro="">
      <xdr:nvGraphicFramePr>
        <xdr:cNvPr id="3" name="图表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10583</xdr:colOff>
      <xdr:row>0</xdr:row>
      <xdr:rowOff>0</xdr:rowOff>
    </xdr:from>
    <xdr:to>
      <xdr:col>12</xdr:col>
      <xdr:colOff>772583</xdr:colOff>
      <xdr:row>17</xdr:row>
      <xdr:rowOff>159808</xdr:rowOff>
    </xdr:to>
    <xdr:graphicFrame macro="">
      <xdr:nvGraphicFramePr>
        <xdr:cNvPr id="2" name="图表 1">
          <a:extLst>
            <a:ext uri="{FF2B5EF4-FFF2-40B4-BE49-F238E27FC236}">
              <a16:creationId xmlns:a16="http://schemas.microsoft.com/office/drawing/2014/main" id="{57629B8F-E4E8-A34F-879B-043AFDF0C0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21167</xdr:colOff>
      <xdr:row>17</xdr:row>
      <xdr:rowOff>184149</xdr:rowOff>
    </xdr:from>
    <xdr:to>
      <xdr:col>12</xdr:col>
      <xdr:colOff>762000</xdr:colOff>
      <xdr:row>37</xdr:row>
      <xdr:rowOff>63499</xdr:rowOff>
    </xdr:to>
    <xdr:graphicFrame macro="">
      <xdr:nvGraphicFramePr>
        <xdr:cNvPr id="3" name="图表 2">
          <a:extLst>
            <a:ext uri="{FF2B5EF4-FFF2-40B4-BE49-F238E27FC236}">
              <a16:creationId xmlns:a16="http://schemas.microsoft.com/office/drawing/2014/main" id="{1FB46F2F-72D1-385F-D57B-62DDD013C5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xdr:from>
          <xdr:col>10</xdr:col>
          <xdr:colOff>6350</xdr:colOff>
          <xdr:row>39</xdr:row>
          <xdr:rowOff>14816</xdr:rowOff>
        </xdr:from>
        <xdr:to>
          <xdr:col>11</xdr:col>
          <xdr:colOff>819150</xdr:colOff>
          <xdr:row>42</xdr:row>
          <xdr:rowOff>21166</xdr:rowOff>
        </xdr:to>
        <xdr:grpSp>
          <xdr:nvGrpSpPr>
            <xdr:cNvPr id="5" name="组合 4">
              <a:extLst>
                <a:ext uri="{FF2B5EF4-FFF2-40B4-BE49-F238E27FC236}">
                  <a16:creationId xmlns:a16="http://schemas.microsoft.com/office/drawing/2014/main" id="{7C26DF89-44FE-51ED-E362-61F1A7662C95}"/>
                </a:ext>
              </a:extLst>
            </xdr:cNvPr>
            <xdr:cNvGrpSpPr/>
          </xdr:nvGrpSpPr>
          <xdr:grpSpPr>
            <a:xfrm>
              <a:off x="8388350" y="7444316"/>
              <a:ext cx="1638300" cy="577850"/>
              <a:chOff x="4959350" y="7645400"/>
              <a:chExt cx="1638300" cy="577850"/>
            </a:xfrm>
          </xdr:grpSpPr>
          <xdr:sp macro="" textlink="">
            <xdr:nvSpPr>
              <xdr:cNvPr id="12289" name="Scroll Bar 1" hidden="1">
                <a:extLst>
                  <a:ext uri="{63B3BB69-23CF-44E3-9099-C40C66FF867C}">
                    <a14:compatExt spid="_x0000_s12289"/>
                  </a:ext>
                  <a:ext uri="{FF2B5EF4-FFF2-40B4-BE49-F238E27FC236}">
                    <a16:creationId xmlns:a16="http://schemas.microsoft.com/office/drawing/2014/main" id="{00000000-0008-0000-0500-000001300000}"/>
                  </a:ext>
                </a:extLst>
              </xdr:cNvPr>
              <xdr:cNvSpPr/>
            </xdr:nvSpPr>
            <xdr:spPr bwMode="auto">
              <a:xfrm>
                <a:off x="4959350" y="7645400"/>
                <a:ext cx="1638300" cy="196850"/>
              </a:xfrm>
              <a:prstGeom prst="rect">
                <a:avLst/>
              </a:prstGeom>
              <a:noFill/>
              <a:ln w="9525">
                <a:miter lim="800000"/>
                <a:headEnd/>
                <a:tailEnd/>
              </a:ln>
            </xdr:spPr>
          </xdr:sp>
          <xdr:sp macro="" textlink="">
            <xdr:nvSpPr>
              <xdr:cNvPr id="12290" name="Scroll Bar 2" hidden="1">
                <a:extLst>
                  <a:ext uri="{63B3BB69-23CF-44E3-9099-C40C66FF867C}">
                    <a14:compatExt spid="_x0000_s12290"/>
                  </a:ext>
                  <a:ext uri="{FF2B5EF4-FFF2-40B4-BE49-F238E27FC236}">
                    <a16:creationId xmlns:a16="http://schemas.microsoft.com/office/drawing/2014/main" id="{00000000-0008-0000-0500-000002300000}"/>
                  </a:ext>
                </a:extLst>
              </xdr:cNvPr>
              <xdr:cNvSpPr/>
            </xdr:nvSpPr>
            <xdr:spPr bwMode="auto">
              <a:xfrm>
                <a:off x="4959350" y="8020050"/>
                <a:ext cx="1638300" cy="203200"/>
              </a:xfrm>
              <a:prstGeom prst="rect">
                <a:avLst/>
              </a:prstGeom>
              <a:noFill/>
              <a:ln w="9525">
                <a:miter lim="800000"/>
                <a:headEnd/>
                <a:tailEnd/>
              </a:ln>
            </xdr:spPr>
          </xdr:sp>
        </xdr:grpSp>
        <xdr:clientData/>
      </xdr:twoCellAnchor>
    </mc:Choice>
    <mc:Fallback/>
  </mc:AlternateContent>
  <xdr:twoCellAnchor>
    <xdr:from>
      <xdr:col>4</xdr:col>
      <xdr:colOff>84665</xdr:colOff>
      <xdr:row>48</xdr:row>
      <xdr:rowOff>25401</xdr:rowOff>
    </xdr:from>
    <xdr:to>
      <xdr:col>11</xdr:col>
      <xdr:colOff>804331</xdr:colOff>
      <xdr:row>70</xdr:row>
      <xdr:rowOff>74085</xdr:rowOff>
    </xdr:to>
    <xdr:graphicFrame macro="">
      <xdr:nvGraphicFramePr>
        <xdr:cNvPr id="6" name="图表 5">
          <a:extLst>
            <a:ext uri="{FF2B5EF4-FFF2-40B4-BE49-F238E27FC236}">
              <a16:creationId xmlns:a16="http://schemas.microsoft.com/office/drawing/2014/main" id="{182A085C-2B1B-E67B-61B1-81CBADD8F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12699</xdr:colOff>
      <xdr:row>0</xdr:row>
      <xdr:rowOff>16933</xdr:rowOff>
    </xdr:from>
    <xdr:to>
      <xdr:col>13</xdr:col>
      <xdr:colOff>518582</xdr:colOff>
      <xdr:row>20</xdr:row>
      <xdr:rowOff>4233</xdr:rowOff>
    </xdr:to>
    <xdr:graphicFrame macro="">
      <xdr:nvGraphicFramePr>
        <xdr:cNvPr id="2" name="图表 1">
          <a:extLst>
            <a:ext uri="{FF2B5EF4-FFF2-40B4-BE49-F238E27FC236}">
              <a16:creationId xmlns:a16="http://schemas.microsoft.com/office/drawing/2014/main" id="{00CD114C-3EE2-420A-CFF8-791B717892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8467</xdr:colOff>
      <xdr:row>20</xdr:row>
      <xdr:rowOff>14816</xdr:rowOff>
    </xdr:from>
    <xdr:to>
      <xdr:col>13</xdr:col>
      <xdr:colOff>522817</xdr:colOff>
      <xdr:row>40</xdr:row>
      <xdr:rowOff>179916</xdr:rowOff>
    </xdr:to>
    <xdr:graphicFrame macro="">
      <xdr:nvGraphicFramePr>
        <xdr:cNvPr id="3" name="图表 2">
          <a:extLst>
            <a:ext uri="{FF2B5EF4-FFF2-40B4-BE49-F238E27FC236}">
              <a16:creationId xmlns:a16="http://schemas.microsoft.com/office/drawing/2014/main" id="{CAF5D0E4-7F23-C949-8A26-2C82384C91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5291</xdr:colOff>
      <xdr:row>40</xdr:row>
      <xdr:rowOff>184149</xdr:rowOff>
    </xdr:from>
    <xdr:to>
      <xdr:col>13</xdr:col>
      <xdr:colOff>518583</xdr:colOff>
      <xdr:row>61</xdr:row>
      <xdr:rowOff>190499</xdr:rowOff>
    </xdr:to>
    <xdr:graphicFrame macro="">
      <xdr:nvGraphicFramePr>
        <xdr:cNvPr id="7" name="图表 6">
          <a:extLst>
            <a:ext uri="{FF2B5EF4-FFF2-40B4-BE49-F238E27FC236}">
              <a16:creationId xmlns:a16="http://schemas.microsoft.com/office/drawing/2014/main" id="{0E049793-88DA-0B65-6DF0-7F2DF69391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10582</xdr:colOff>
      <xdr:row>0</xdr:row>
      <xdr:rowOff>42333</xdr:rowOff>
    </xdr:from>
    <xdr:to>
      <xdr:col>12</xdr:col>
      <xdr:colOff>825499</xdr:colOff>
      <xdr:row>18</xdr:row>
      <xdr:rowOff>101599</xdr:rowOff>
    </xdr:to>
    <xdr:graphicFrame macro="">
      <xdr:nvGraphicFramePr>
        <xdr:cNvPr id="2" name="图表 1">
          <a:extLst>
            <a:ext uri="{FF2B5EF4-FFF2-40B4-BE49-F238E27FC236}">
              <a16:creationId xmlns:a16="http://schemas.microsoft.com/office/drawing/2014/main" id="{5F9CF188-2A6C-5DCA-5D4C-E7197C4656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820208</xdr:colOff>
      <xdr:row>18</xdr:row>
      <xdr:rowOff>110065</xdr:rowOff>
    </xdr:from>
    <xdr:to>
      <xdr:col>13</xdr:col>
      <xdr:colOff>21167</xdr:colOff>
      <xdr:row>36</xdr:row>
      <xdr:rowOff>42332</xdr:rowOff>
    </xdr:to>
    <xdr:graphicFrame macro="">
      <xdr:nvGraphicFramePr>
        <xdr:cNvPr id="3" name="图表 2">
          <a:extLst>
            <a:ext uri="{FF2B5EF4-FFF2-40B4-BE49-F238E27FC236}">
              <a16:creationId xmlns:a16="http://schemas.microsoft.com/office/drawing/2014/main" id="{96F7B3D8-DB4F-763E-B87F-F65ECFD8C8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814916</xdr:colOff>
      <xdr:row>36</xdr:row>
      <xdr:rowOff>42333</xdr:rowOff>
    </xdr:from>
    <xdr:to>
      <xdr:col>13</xdr:col>
      <xdr:colOff>31751</xdr:colOff>
      <xdr:row>60</xdr:row>
      <xdr:rowOff>53974</xdr:rowOff>
    </xdr:to>
    <xdr:graphicFrame macro="">
      <xdr:nvGraphicFramePr>
        <xdr:cNvPr id="4" name="图表 3">
          <a:extLst>
            <a:ext uri="{FF2B5EF4-FFF2-40B4-BE49-F238E27FC236}">
              <a16:creationId xmlns:a16="http://schemas.microsoft.com/office/drawing/2014/main" id="{1FC702F7-F846-5641-B6D3-9CCF13CEF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814916</xdr:colOff>
      <xdr:row>60</xdr:row>
      <xdr:rowOff>53974</xdr:rowOff>
    </xdr:from>
    <xdr:to>
      <xdr:col>13</xdr:col>
      <xdr:colOff>31751</xdr:colOff>
      <xdr:row>80</xdr:row>
      <xdr:rowOff>49741</xdr:rowOff>
    </xdr:to>
    <xdr:graphicFrame macro="">
      <xdr:nvGraphicFramePr>
        <xdr:cNvPr id="11" name="图表 10">
          <a:extLst>
            <a:ext uri="{FF2B5EF4-FFF2-40B4-BE49-F238E27FC236}">
              <a16:creationId xmlns:a16="http://schemas.microsoft.com/office/drawing/2014/main" id="{90D5AB3D-243B-BACF-5EFF-90F8EB19B0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814915</xdr:colOff>
      <xdr:row>80</xdr:row>
      <xdr:rowOff>49741</xdr:rowOff>
    </xdr:from>
    <xdr:to>
      <xdr:col>13</xdr:col>
      <xdr:colOff>31750</xdr:colOff>
      <xdr:row>109</xdr:row>
      <xdr:rowOff>49741</xdr:rowOff>
    </xdr:to>
    <mc:AlternateContent xmlns:mc="http://schemas.openxmlformats.org/markup-compatibility/2006">
      <mc:Choice xmlns:cx1="http://schemas.microsoft.com/office/drawing/2015/9/8/chartex" Requires="cx1">
        <xdr:graphicFrame macro="">
          <xdr:nvGraphicFramePr>
            <xdr:cNvPr id="13" name="图表 12">
              <a:extLst>
                <a:ext uri="{FF2B5EF4-FFF2-40B4-BE49-F238E27FC236}">
                  <a16:creationId xmlns:a16="http://schemas.microsoft.com/office/drawing/2014/main" id="{F2BCBCEE-5457-F720-1EE9-991CBAD4D2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869515" y="15289741"/>
              <a:ext cx="4995335" cy="5524500"/>
            </a:xfrm>
            <a:prstGeom prst="rect">
              <a:avLst/>
            </a:prstGeom>
            <a:solidFill>
              <a:prstClr val="white"/>
            </a:solidFill>
            <a:ln w="1">
              <a:solidFill>
                <a:prstClr val="green"/>
              </a:solidFill>
            </a:ln>
          </xdr:spPr>
          <xdr:txBody>
            <a:bodyPr vertOverflow="clip" horzOverflow="clip"/>
            <a:lstStyle/>
            <a:p>
              <a:r>
                <a:rPr lang="zh-CN" altLang="en-US" sz="1100"/>
                <a:t>此图表在您的 Excel 版本中不可用。
编辑此形状或将此工作簿转换为其他文件格式将永久破坏图表。</a:t>
              </a:r>
            </a:p>
          </xdr:txBody>
        </xdr:sp>
      </mc:Fallback>
    </mc:AlternateContent>
    <xdr:clientData/>
  </xdr:twoCellAnchor>
</xdr:wsDr>
</file>

<file path=xl/drawings/drawing8.xml><?xml version="1.0" encoding="utf-8"?>
<c:userShapes xmlns:c="http://schemas.openxmlformats.org/drawingml/2006/chart">
  <cdr:relSizeAnchor xmlns:cdr="http://schemas.openxmlformats.org/drawingml/2006/chartDrawing">
    <cdr:from>
      <cdr:x>0.5787</cdr:x>
      <cdr:y>0.25883</cdr:y>
    </cdr:from>
    <cdr:to>
      <cdr:x>0.78009</cdr:x>
      <cdr:y>0.34657</cdr:y>
    </cdr:to>
    <cdr:sp macro="" textlink="">
      <cdr:nvSpPr>
        <cdr:cNvPr id="2" name="文本框 1">
          <a:extLst xmlns:a="http://schemas.openxmlformats.org/drawingml/2006/main">
            <a:ext uri="{FF2B5EF4-FFF2-40B4-BE49-F238E27FC236}">
              <a16:creationId xmlns:a16="http://schemas.microsoft.com/office/drawing/2014/main" id="{7C18678B-7582-2F6B-2081-41D42F20D3F8}"/>
            </a:ext>
          </a:extLst>
        </cdr:cNvPr>
        <cdr:cNvSpPr txBox="1"/>
      </cdr:nvSpPr>
      <cdr:spPr>
        <a:xfrm xmlns:a="http://schemas.openxmlformats.org/drawingml/2006/main">
          <a:off x="2645830" y="1186392"/>
          <a:ext cx="920751" cy="40216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zh-CN" altLang="en-US" sz="2000" kern="1200">
              <a:solidFill>
                <a:schemeClr val="bg1"/>
              </a:solidFill>
              <a:latin typeface="SimHei" panose="02010609060101010101" pitchFamily="49" charset="-122"/>
              <a:ea typeface="SimHei" panose="02010609060101010101" pitchFamily="49" charset="-122"/>
            </a:rPr>
            <a:t>新业务</a:t>
          </a:r>
        </a:p>
      </cdr:txBody>
    </cdr:sp>
  </cdr:relSizeAnchor>
  <cdr:relSizeAnchor xmlns:cdr="http://schemas.openxmlformats.org/drawingml/2006/chartDrawing">
    <cdr:from>
      <cdr:x>0.16389</cdr:x>
      <cdr:y>0.25814</cdr:y>
    </cdr:from>
    <cdr:to>
      <cdr:x>0.41898</cdr:x>
      <cdr:y>0.34588</cdr:y>
    </cdr:to>
    <cdr:sp macro="" textlink="">
      <cdr:nvSpPr>
        <cdr:cNvPr id="3" name="文本框 1">
          <a:extLst xmlns:a="http://schemas.openxmlformats.org/drawingml/2006/main">
            <a:ext uri="{FF2B5EF4-FFF2-40B4-BE49-F238E27FC236}">
              <a16:creationId xmlns:a16="http://schemas.microsoft.com/office/drawing/2014/main" id="{17EABDB2-1FEF-DB48-C08D-BD11D7054430}"/>
            </a:ext>
          </a:extLst>
        </cdr:cNvPr>
        <cdr:cNvSpPr txBox="1"/>
      </cdr:nvSpPr>
      <cdr:spPr>
        <a:xfrm xmlns:a="http://schemas.openxmlformats.org/drawingml/2006/main">
          <a:off x="749300" y="1183216"/>
          <a:ext cx="1166282" cy="402166"/>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zh-CN" altLang="en-US" sz="2000" kern="1200">
              <a:solidFill>
                <a:schemeClr val="bg1"/>
              </a:solidFill>
              <a:latin typeface="SimHei" panose="02010609060101010101" pitchFamily="49" charset="-122"/>
              <a:ea typeface="SimHei" panose="02010609060101010101" pitchFamily="49" charset="-122"/>
            </a:rPr>
            <a:t>明星业务</a:t>
          </a:r>
        </a:p>
      </cdr:txBody>
    </cdr:sp>
  </cdr:relSizeAnchor>
  <cdr:relSizeAnchor xmlns:cdr="http://schemas.openxmlformats.org/drawingml/2006/chartDrawing">
    <cdr:from>
      <cdr:x>0.15926</cdr:x>
      <cdr:y>0.65297</cdr:y>
    </cdr:from>
    <cdr:to>
      <cdr:x>0.41435</cdr:x>
      <cdr:y>0.74071</cdr:y>
    </cdr:to>
    <cdr:sp macro="" textlink="">
      <cdr:nvSpPr>
        <cdr:cNvPr id="4" name="文本框 1">
          <a:extLst xmlns:a="http://schemas.openxmlformats.org/drawingml/2006/main">
            <a:ext uri="{FF2B5EF4-FFF2-40B4-BE49-F238E27FC236}">
              <a16:creationId xmlns:a16="http://schemas.microsoft.com/office/drawing/2014/main" id="{636765CD-51B8-2F7F-81BA-ABDC535778F5}"/>
            </a:ext>
          </a:extLst>
        </cdr:cNvPr>
        <cdr:cNvSpPr txBox="1"/>
      </cdr:nvSpPr>
      <cdr:spPr>
        <a:xfrm xmlns:a="http://schemas.openxmlformats.org/drawingml/2006/main">
          <a:off x="728134" y="2992967"/>
          <a:ext cx="1166282" cy="402166"/>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zh-CN" altLang="en-US" sz="2000" kern="1200">
              <a:solidFill>
                <a:schemeClr val="bg1"/>
              </a:solidFill>
              <a:latin typeface="SimHei" panose="02010609060101010101" pitchFamily="49" charset="-122"/>
              <a:ea typeface="SimHei" panose="02010609060101010101" pitchFamily="49" charset="-122"/>
            </a:rPr>
            <a:t>现金牛</a:t>
          </a:r>
        </a:p>
      </cdr:txBody>
    </cdr:sp>
  </cdr:relSizeAnchor>
  <cdr:relSizeAnchor xmlns:cdr="http://schemas.openxmlformats.org/drawingml/2006/chartDrawing">
    <cdr:from>
      <cdr:x>0.55046</cdr:x>
      <cdr:y>0.65528</cdr:y>
    </cdr:from>
    <cdr:to>
      <cdr:x>0.80556</cdr:x>
      <cdr:y>0.74302</cdr:y>
    </cdr:to>
    <cdr:sp macro="" textlink="">
      <cdr:nvSpPr>
        <cdr:cNvPr id="5" name="文本框 1">
          <a:extLst xmlns:a="http://schemas.openxmlformats.org/drawingml/2006/main">
            <a:ext uri="{FF2B5EF4-FFF2-40B4-BE49-F238E27FC236}">
              <a16:creationId xmlns:a16="http://schemas.microsoft.com/office/drawing/2014/main" id="{636765CD-51B8-2F7F-81BA-ABDC535778F5}"/>
            </a:ext>
          </a:extLst>
        </cdr:cNvPr>
        <cdr:cNvSpPr txBox="1"/>
      </cdr:nvSpPr>
      <cdr:spPr>
        <a:xfrm xmlns:a="http://schemas.openxmlformats.org/drawingml/2006/main">
          <a:off x="2516716" y="3003550"/>
          <a:ext cx="1166282" cy="402166"/>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zh-CN" altLang="en-US" sz="2000" kern="1200">
              <a:solidFill>
                <a:schemeClr val="bg1"/>
              </a:solidFill>
              <a:latin typeface="SimHei" panose="02010609060101010101" pitchFamily="49" charset="-122"/>
              <a:ea typeface="SimHei" panose="02010609060101010101" pitchFamily="49" charset="-122"/>
            </a:rPr>
            <a:t>瘦狗</a:t>
          </a:r>
        </a:p>
      </cdr:txBody>
    </cdr:sp>
  </cdr:relSizeAnchor>
</c:userShapes>
</file>

<file path=xl/drawings/drawing9.xml><?xml version="1.0" encoding="utf-8"?>
<xdr:wsDr xmlns:xdr="http://schemas.openxmlformats.org/drawingml/2006/spreadsheetDrawing" xmlns:a="http://schemas.openxmlformats.org/drawingml/2006/main">
  <xdr:twoCellAnchor>
    <xdr:from>
      <xdr:col>5</xdr:col>
      <xdr:colOff>355600</xdr:colOff>
      <xdr:row>0</xdr:row>
      <xdr:rowOff>16934</xdr:rowOff>
    </xdr:from>
    <xdr:to>
      <xdr:col>10</xdr:col>
      <xdr:colOff>778934</xdr:colOff>
      <xdr:row>14</xdr:row>
      <xdr:rowOff>33867</xdr:rowOff>
    </xdr:to>
    <xdr:graphicFrame macro="">
      <xdr:nvGraphicFramePr>
        <xdr:cNvPr id="3" name="图表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21165</xdr:colOff>
      <xdr:row>0</xdr:row>
      <xdr:rowOff>0</xdr:rowOff>
    </xdr:from>
    <xdr:to>
      <xdr:col>13</xdr:col>
      <xdr:colOff>783166</xdr:colOff>
      <xdr:row>21</xdr:row>
      <xdr:rowOff>27516</xdr:rowOff>
    </xdr:to>
    <xdr:graphicFrame macro="">
      <xdr:nvGraphicFramePr>
        <xdr:cNvPr id="2" name="图表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6.xml"/><Relationship Id="rId3" Type="http://schemas.openxmlformats.org/officeDocument/2006/relationships/ctrlProp" Target="../ctrlProps/ctrlProp1.xml"/><Relationship Id="rId7" Type="http://schemas.openxmlformats.org/officeDocument/2006/relationships/ctrlProp" Target="../ctrlProps/ctrlProp5.xml"/><Relationship Id="rId12" Type="http://schemas.openxmlformats.org/officeDocument/2006/relationships/ctrlProp" Target="../ctrlProps/ctrlProp10.xml"/><Relationship Id="rId2" Type="http://schemas.openxmlformats.org/officeDocument/2006/relationships/vmlDrawing" Target="../drawings/vmlDrawing1.vml"/><Relationship Id="rId1" Type="http://schemas.openxmlformats.org/officeDocument/2006/relationships/drawing" Target="../drawings/drawing3.xml"/><Relationship Id="rId6" Type="http://schemas.openxmlformats.org/officeDocument/2006/relationships/ctrlProp" Target="../ctrlProps/ctrlProp4.xml"/><Relationship Id="rId11" Type="http://schemas.openxmlformats.org/officeDocument/2006/relationships/ctrlProp" Target="../ctrlProps/ctrlProp9.xml"/><Relationship Id="rId5" Type="http://schemas.openxmlformats.org/officeDocument/2006/relationships/ctrlProp" Target="../ctrlProps/ctrlProp3.xml"/><Relationship Id="rId10" Type="http://schemas.openxmlformats.org/officeDocument/2006/relationships/ctrlProp" Target="../ctrlProps/ctrlProp8.xml"/><Relationship Id="rId4" Type="http://schemas.openxmlformats.org/officeDocument/2006/relationships/ctrlProp" Target="../ctrlProps/ctrlProp2.xml"/><Relationship Id="rId9" Type="http://schemas.openxmlformats.org/officeDocument/2006/relationships/ctrlProp" Target="../ctrlProps/ctrlProp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trlProp" Target="../ctrlProps/ctrlProp11.xml"/><Relationship Id="rId2" Type="http://schemas.openxmlformats.org/officeDocument/2006/relationships/vmlDrawing" Target="../drawings/vmlDrawing2.vml"/><Relationship Id="rId1" Type="http://schemas.openxmlformats.org/officeDocument/2006/relationships/drawing" Target="../drawings/drawing5.xml"/><Relationship Id="rId4" Type="http://schemas.openxmlformats.org/officeDocument/2006/relationships/ctrlProp" Target="../ctrlProps/ctrlProp1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60"/>
  </sheetPr>
  <dimension ref="A2:H65"/>
  <sheetViews>
    <sheetView zoomScale="150" zoomScaleNormal="150" workbookViewId="0">
      <selection activeCell="D69" sqref="D69"/>
    </sheetView>
  </sheetViews>
  <sheetFormatPr baseColWidth="10" defaultColWidth="9" defaultRowHeight="15"/>
  <cols>
    <col min="1" max="3" width="9" style="1"/>
    <col min="4" max="4" width="16.6640625" style="1" bestFit="1" customWidth="1"/>
    <col min="5" max="6" width="9" style="1"/>
    <col min="7" max="8" width="9.33203125" style="1" bestFit="1" customWidth="1"/>
    <col min="9" max="16384" width="9" style="1"/>
  </cols>
  <sheetData>
    <row r="2" spans="1:7" s="2" customFormat="1" ht="16" thickBot="1"/>
    <row r="3" spans="1:7" ht="16" thickTop="1"/>
    <row r="4" spans="1:7" s="3" customFormat="1" ht="14">
      <c r="A4" s="3" t="s">
        <v>0</v>
      </c>
      <c r="B4" s="6" t="s">
        <v>296</v>
      </c>
    </row>
    <row r="5" spans="1:7" s="3" customFormat="1" ht="14">
      <c r="B5" s="9" t="s">
        <v>297</v>
      </c>
    </row>
    <row r="6" spans="1:7" s="3" customFormat="1" ht="14">
      <c r="C6" s="9" t="s">
        <v>2</v>
      </c>
    </row>
    <row r="7" spans="1:7" s="3" customFormat="1" ht="14">
      <c r="C7" s="9" t="s">
        <v>3</v>
      </c>
    </row>
    <row r="8" spans="1:7" s="3" customFormat="1" ht="14"/>
    <row r="9" spans="1:7" s="3" customFormat="1" ht="14">
      <c r="A9" s="3" t="s">
        <v>1</v>
      </c>
      <c r="B9" s="6" t="s">
        <v>5</v>
      </c>
    </row>
    <row r="10" spans="1:7" s="3" customFormat="1" ht="14">
      <c r="B10" s="7"/>
    </row>
    <row r="11" spans="1:7" s="3" customFormat="1" ht="14">
      <c r="B11" s="3" t="s">
        <v>4</v>
      </c>
    </row>
    <row r="12" spans="1:7" s="3" customFormat="1" ht="14">
      <c r="C12" s="9" t="s">
        <v>7</v>
      </c>
      <c r="D12" s="9"/>
    </row>
    <row r="13" spans="1:7" s="3" customFormat="1" ht="14">
      <c r="B13" s="8"/>
      <c r="C13" s="9" t="s">
        <v>6</v>
      </c>
      <c r="D13" s="9"/>
    </row>
    <row r="14" spans="1:7" s="3" customFormat="1" ht="14">
      <c r="C14" s="9" t="s">
        <v>8</v>
      </c>
      <c r="D14" s="9" t="s">
        <v>12</v>
      </c>
    </row>
    <row r="15" spans="1:7" s="3" customFormat="1">
      <c r="B15" s="8"/>
      <c r="C15" s="9" t="s">
        <v>9</v>
      </c>
      <c r="D15" s="9" t="s">
        <v>13</v>
      </c>
      <c r="G15" s="5"/>
    </row>
    <row r="16" spans="1:7" s="3" customFormat="1">
      <c r="B16" s="8"/>
      <c r="C16" s="9" t="s">
        <v>10</v>
      </c>
      <c r="D16" s="9" t="s">
        <v>14</v>
      </c>
      <c r="G16" s="5"/>
    </row>
    <row r="17" spans="1:7" s="3" customFormat="1">
      <c r="B17" s="8"/>
      <c r="C17" s="9" t="s">
        <v>11</v>
      </c>
      <c r="D17" s="9" t="s">
        <v>17</v>
      </c>
      <c r="G17" s="5"/>
    </row>
    <row r="18" spans="1:7" s="3" customFormat="1">
      <c r="B18" s="8"/>
      <c r="C18" s="9" t="s">
        <v>15</v>
      </c>
      <c r="D18" s="9" t="s">
        <v>16</v>
      </c>
      <c r="G18" s="5"/>
    </row>
    <row r="19" spans="1:7" s="3" customFormat="1">
      <c r="B19" s="8"/>
      <c r="C19" s="9" t="s">
        <v>24</v>
      </c>
      <c r="D19" s="9"/>
      <c r="G19" s="5"/>
    </row>
    <row r="20" spans="1:7" s="3" customFormat="1">
      <c r="B20" s="8"/>
      <c r="C20" s="4"/>
      <c r="G20" s="5"/>
    </row>
    <row r="21" spans="1:7" s="3" customFormat="1" ht="14">
      <c r="B21" s="3" t="s">
        <v>18</v>
      </c>
      <c r="C21" s="4"/>
    </row>
    <row r="22" spans="1:7" s="3" customFormat="1" ht="14">
      <c r="C22" s="9" t="s">
        <v>21</v>
      </c>
    </row>
    <row r="23" spans="1:7" s="3" customFormat="1" ht="14">
      <c r="B23" s="7"/>
      <c r="C23" s="9" t="s">
        <v>22</v>
      </c>
    </row>
    <row r="24" spans="1:7" s="3" customFormat="1" ht="14">
      <c r="C24" s="9" t="s">
        <v>23</v>
      </c>
    </row>
    <row r="25" spans="1:7" s="3" customFormat="1" ht="14">
      <c r="B25" s="8"/>
    </row>
    <row r="26" spans="1:7" s="3" customFormat="1" ht="14">
      <c r="A26" s="3" t="s">
        <v>101</v>
      </c>
      <c r="B26" s="24" t="s">
        <v>298</v>
      </c>
    </row>
    <row r="28" spans="1:7" s="3" customFormat="1" ht="14">
      <c r="B28" s="3" t="s">
        <v>102</v>
      </c>
    </row>
    <row r="29" spans="1:7" s="3" customFormat="1" ht="14">
      <c r="C29" s="25" t="s">
        <v>108</v>
      </c>
    </row>
    <row r="30" spans="1:7" s="3" customFormat="1" ht="14">
      <c r="C30" s="25"/>
      <c r="D30" s="25" t="s">
        <v>110</v>
      </c>
    </row>
    <row r="31" spans="1:7" s="3" customFormat="1" ht="14">
      <c r="C31" s="25"/>
      <c r="D31" s="25" t="s">
        <v>111</v>
      </c>
    </row>
    <row r="32" spans="1:7" s="3" customFormat="1" ht="14">
      <c r="C32" s="25"/>
      <c r="D32" s="18" t="s">
        <v>25</v>
      </c>
    </row>
    <row r="33" spans="1:8" s="3" customFormat="1" ht="14">
      <c r="C33" s="25"/>
      <c r="D33" s="25"/>
    </row>
    <row r="34" spans="1:8" s="3" customFormat="1" ht="14">
      <c r="C34" s="25" t="s">
        <v>109</v>
      </c>
    </row>
    <row r="35" spans="1:8" s="3" customFormat="1" ht="14">
      <c r="C35" s="25"/>
      <c r="D35" s="25" t="s">
        <v>112</v>
      </c>
    </row>
    <row r="36" spans="1:8" s="3" customFormat="1" ht="14">
      <c r="C36" s="25"/>
      <c r="D36" s="25" t="s">
        <v>113</v>
      </c>
    </row>
    <row r="37" spans="1:8" s="3" customFormat="1" ht="14">
      <c r="C37" s="25"/>
    </row>
    <row r="38" spans="1:8" s="3" customFormat="1" ht="14">
      <c r="C38" s="25" t="s">
        <v>154</v>
      </c>
    </row>
    <row r="39" spans="1:8" s="3" customFormat="1" ht="14">
      <c r="D39" s="25" t="s">
        <v>114</v>
      </c>
    </row>
    <row r="40" spans="1:8" s="3" customFormat="1" ht="14">
      <c r="D40" s="25" t="s">
        <v>129</v>
      </c>
    </row>
    <row r="41" spans="1:8" s="3" customFormat="1" ht="14">
      <c r="D41" s="25" t="s">
        <v>127</v>
      </c>
    </row>
    <row r="42" spans="1:8" s="3" customFormat="1" ht="14">
      <c r="D42" s="25" t="s">
        <v>128</v>
      </c>
    </row>
    <row r="43" spans="1:8" s="3" customFormat="1" ht="14">
      <c r="D43" s="25"/>
    </row>
    <row r="44" spans="1:8" s="3" customFormat="1" ht="14">
      <c r="D44" s="25" t="s">
        <v>130</v>
      </c>
    </row>
    <row r="45" spans="1:8">
      <c r="C45" s="3"/>
      <c r="D45" s="25" t="s">
        <v>131</v>
      </c>
      <c r="E45" s="3"/>
      <c r="F45" s="3"/>
      <c r="G45" s="3"/>
      <c r="H45" s="3"/>
    </row>
    <row r="46" spans="1:8">
      <c r="C46" s="3"/>
      <c r="D46" s="3"/>
      <c r="E46" s="3"/>
      <c r="F46" s="3"/>
      <c r="G46" s="3"/>
      <c r="H46" s="3"/>
    </row>
    <row r="47" spans="1:8">
      <c r="A47" s="3"/>
      <c r="B47" s="3" t="s">
        <v>103</v>
      </c>
      <c r="C47" s="3"/>
      <c r="D47" s="3"/>
      <c r="E47" s="3"/>
      <c r="F47" s="3"/>
      <c r="G47" s="3"/>
      <c r="H47" s="3"/>
    </row>
    <row r="48" spans="1:8">
      <c r="A48" s="3"/>
      <c r="C48" s="25" t="s">
        <v>153</v>
      </c>
      <c r="D48" s="3"/>
      <c r="E48" s="3"/>
      <c r="F48" s="3"/>
      <c r="G48" s="3"/>
      <c r="H48" s="3"/>
    </row>
    <row r="49" spans="1:8">
      <c r="A49" s="3"/>
      <c r="C49" s="25" t="s">
        <v>174</v>
      </c>
      <c r="D49" s="3"/>
      <c r="E49" s="3"/>
      <c r="F49" s="3"/>
      <c r="G49" s="3"/>
      <c r="H49" s="3"/>
    </row>
    <row r="50" spans="1:8">
      <c r="A50" s="3"/>
      <c r="C50" s="25" t="s">
        <v>173</v>
      </c>
      <c r="D50" s="3"/>
      <c r="E50" s="3"/>
      <c r="F50" s="3"/>
      <c r="G50" s="3"/>
      <c r="H50" s="3"/>
    </row>
    <row r="51" spans="1:8">
      <c r="A51" s="3"/>
      <c r="C51" s="25" t="s">
        <v>175</v>
      </c>
      <c r="D51" s="3"/>
      <c r="E51" s="3"/>
      <c r="F51" s="3"/>
      <c r="G51" s="3"/>
      <c r="H51" s="3"/>
    </row>
    <row r="52" spans="1:8">
      <c r="A52" s="3"/>
      <c r="C52" s="25"/>
      <c r="D52" s="3"/>
      <c r="E52" s="3"/>
      <c r="F52" s="3"/>
      <c r="G52" s="3"/>
      <c r="H52" s="3"/>
    </row>
    <row r="53" spans="1:8">
      <c r="A53" s="3"/>
      <c r="B53" s="3" t="s">
        <v>104</v>
      </c>
      <c r="C53" s="3"/>
      <c r="D53" s="3"/>
      <c r="E53" s="3"/>
      <c r="F53" s="3"/>
      <c r="G53" s="5"/>
      <c r="H53" s="3"/>
    </row>
    <row r="54" spans="1:8">
      <c r="A54" s="3"/>
      <c r="B54" s="3"/>
      <c r="C54" s="25" t="s">
        <v>176</v>
      </c>
      <c r="D54" s="3"/>
      <c r="E54" s="3"/>
      <c r="F54" s="3"/>
      <c r="G54" s="5"/>
      <c r="H54" s="3"/>
    </row>
    <row r="55" spans="1:8">
      <c r="A55" s="3"/>
      <c r="B55" s="3"/>
      <c r="C55" s="3"/>
      <c r="D55" s="3"/>
      <c r="E55" s="3"/>
      <c r="F55" s="3"/>
      <c r="G55" s="5"/>
      <c r="H55" s="3"/>
    </row>
    <row r="56" spans="1:8">
      <c r="A56" s="3"/>
      <c r="B56" s="3" t="s">
        <v>105</v>
      </c>
      <c r="C56" s="3"/>
      <c r="D56" s="3"/>
      <c r="E56" s="3"/>
      <c r="F56" s="3"/>
      <c r="G56" s="5"/>
      <c r="H56" s="3"/>
    </row>
    <row r="57" spans="1:8">
      <c r="A57" s="3"/>
      <c r="B57" s="3"/>
      <c r="C57" s="25" t="s">
        <v>294</v>
      </c>
      <c r="D57" s="3"/>
      <c r="E57" s="3"/>
      <c r="F57" s="3"/>
      <c r="G57" s="5"/>
      <c r="H57" s="3"/>
    </row>
    <row r="58" spans="1:8">
      <c r="A58" s="3"/>
      <c r="B58" s="3"/>
      <c r="C58" s="25" t="s">
        <v>295</v>
      </c>
      <c r="D58" s="3"/>
      <c r="E58" s="3"/>
      <c r="F58" s="3"/>
      <c r="G58" s="5"/>
      <c r="H58" s="3"/>
    </row>
    <row r="59" spans="1:8">
      <c r="A59" s="3"/>
      <c r="B59" s="3"/>
      <c r="C59" s="25" t="s">
        <v>299</v>
      </c>
      <c r="D59" s="3"/>
      <c r="E59" s="3"/>
      <c r="F59" s="3"/>
      <c r="G59" s="5"/>
      <c r="H59" s="3"/>
    </row>
    <row r="60" spans="1:8">
      <c r="A60" s="3"/>
      <c r="B60" s="3"/>
      <c r="C60" s="25" t="s">
        <v>300</v>
      </c>
      <c r="D60" s="3"/>
      <c r="E60" s="3"/>
      <c r="F60" s="3"/>
      <c r="G60" s="5"/>
      <c r="H60" s="3"/>
    </row>
    <row r="61" spans="1:8">
      <c r="A61" s="3"/>
      <c r="B61" s="3"/>
      <c r="C61" s="3"/>
      <c r="D61" s="3"/>
      <c r="E61" s="3"/>
      <c r="F61" s="3"/>
      <c r="G61" s="3"/>
      <c r="H61" s="3"/>
    </row>
    <row r="62" spans="1:8">
      <c r="B62" s="3" t="s">
        <v>106</v>
      </c>
    </row>
    <row r="63" spans="1:8">
      <c r="B63" s="3"/>
      <c r="C63" s="25" t="s">
        <v>334</v>
      </c>
    </row>
    <row r="64" spans="1:8">
      <c r="B64" s="3"/>
    </row>
    <row r="65" spans="2:2">
      <c r="B65" s="3" t="s">
        <v>107</v>
      </c>
    </row>
  </sheetData>
  <phoneticPr fontId="1" type="noConversion"/>
  <pageMargins left="0.74803149606299213" right="0.74803149606299213" top="0.98425196850393704" bottom="0.98425196850393704" header="0.51181102362204722" footer="0.51181102362204722"/>
  <pageSetup paperSize="9" orientation="portrait" verticalDpi="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2C555-C4D0-B440-A534-CE1586708B04}">
  <dimension ref="A1:D107"/>
  <sheetViews>
    <sheetView zoomScale="120" zoomScaleNormal="120" workbookViewId="0">
      <selection activeCell="B3" sqref="B3"/>
    </sheetView>
  </sheetViews>
  <sheetFormatPr baseColWidth="10" defaultRowHeight="15"/>
  <sheetData>
    <row r="1" spans="1:4">
      <c r="A1" s="32" t="s">
        <v>26</v>
      </c>
      <c r="B1" s="35" t="s">
        <v>27</v>
      </c>
      <c r="C1" s="35" t="s">
        <v>28</v>
      </c>
    </row>
    <row r="2" spans="1:4">
      <c r="A2" s="36" t="s">
        <v>29</v>
      </c>
      <c r="B2" s="37">
        <v>30</v>
      </c>
      <c r="C2" s="37">
        <v>25</v>
      </c>
    </row>
    <row r="3" spans="1:4">
      <c r="A3" s="36" t="s">
        <v>30</v>
      </c>
      <c r="B3" s="37">
        <v>35</v>
      </c>
      <c r="C3" s="37">
        <v>30</v>
      </c>
    </row>
    <row r="4" spans="1:4">
      <c r="A4" s="36" t="s">
        <v>31</v>
      </c>
      <c r="B4" s="37">
        <v>28</v>
      </c>
      <c r="C4" s="37">
        <v>32</v>
      </c>
    </row>
    <row r="5" spans="1:4">
      <c r="A5" s="39"/>
      <c r="B5" s="40"/>
      <c r="C5" s="40"/>
    </row>
    <row r="6" spans="1:4">
      <c r="A6" s="41" t="s">
        <v>135</v>
      </c>
    </row>
    <row r="7" spans="1:4">
      <c r="A7" s="9" t="s">
        <v>132</v>
      </c>
    </row>
    <row r="8" spans="1:4">
      <c r="A8" s="9" t="s">
        <v>133</v>
      </c>
    </row>
    <row r="9" spans="1:4">
      <c r="A9" s="9" t="s">
        <v>134</v>
      </c>
    </row>
    <row r="16" spans="1:4">
      <c r="A16" s="32" t="s">
        <v>26</v>
      </c>
      <c r="B16" s="35" t="s">
        <v>27</v>
      </c>
      <c r="C16" s="35" t="s">
        <v>28</v>
      </c>
      <c r="D16" s="35" t="s">
        <v>40</v>
      </c>
    </row>
    <row r="17" spans="1:4">
      <c r="A17" s="36" t="s">
        <v>29</v>
      </c>
      <c r="B17" s="37">
        <v>30</v>
      </c>
      <c r="C17" s="37">
        <v>25</v>
      </c>
      <c r="D17" s="38">
        <v>0.53</v>
      </c>
    </row>
    <row r="18" spans="1:4">
      <c r="A18" s="36" t="s">
        <v>30</v>
      </c>
      <c r="B18" s="37">
        <v>35</v>
      </c>
      <c r="C18" s="37">
        <v>30</v>
      </c>
      <c r="D18" s="38">
        <v>0.6</v>
      </c>
    </row>
    <row r="19" spans="1:4">
      <c r="A19" s="36" t="s">
        <v>31</v>
      </c>
      <c r="B19" s="37">
        <v>28</v>
      </c>
      <c r="C19" s="37">
        <v>32</v>
      </c>
      <c r="D19" s="38">
        <v>0.47</v>
      </c>
    </row>
    <row r="20" spans="1:4">
      <c r="A20" s="36" t="s">
        <v>41</v>
      </c>
      <c r="B20" s="37">
        <v>33</v>
      </c>
      <c r="C20" s="37">
        <v>35</v>
      </c>
      <c r="D20" s="38">
        <v>0.55000000000000004</v>
      </c>
    </row>
    <row r="22" spans="1:4">
      <c r="A22" s="41" t="s">
        <v>138</v>
      </c>
    </row>
    <row r="23" spans="1:4">
      <c r="A23" s="18" t="s">
        <v>136</v>
      </c>
    </row>
    <row r="24" spans="1:4">
      <c r="A24" s="18" t="s">
        <v>137</v>
      </c>
    </row>
    <row r="31" spans="1:4">
      <c r="A31" s="29" t="s">
        <v>65</v>
      </c>
      <c r="B31" s="29" t="s">
        <v>66</v>
      </c>
      <c r="C31" s="29" t="s">
        <v>67</v>
      </c>
    </row>
    <row r="32" spans="1:4">
      <c r="A32" s="30" t="s">
        <v>68</v>
      </c>
      <c r="B32" s="30">
        <v>76</v>
      </c>
      <c r="C32" s="31">
        <v>0.85699999999999998</v>
      </c>
    </row>
    <row r="33" spans="1:3">
      <c r="A33" s="30" t="s">
        <v>69</v>
      </c>
      <c r="B33" s="30">
        <v>88</v>
      </c>
      <c r="C33" s="31">
        <v>0.89200000000000002</v>
      </c>
    </row>
    <row r="34" spans="1:3">
      <c r="A34" s="30" t="s">
        <v>70</v>
      </c>
      <c r="B34" s="30">
        <v>85</v>
      </c>
      <c r="C34" s="31">
        <v>0.86399999999999999</v>
      </c>
    </row>
    <row r="35" spans="1:3">
      <c r="A35" s="30" t="s">
        <v>71</v>
      </c>
      <c r="B35" s="30">
        <v>89</v>
      </c>
      <c r="C35" s="31">
        <v>0.95</v>
      </c>
    </row>
    <row r="36" spans="1:3">
      <c r="A36" s="30" t="s">
        <v>72</v>
      </c>
      <c r="B36" s="30">
        <v>88</v>
      </c>
      <c r="C36" s="31">
        <v>0.92600000000000005</v>
      </c>
    </row>
    <row r="38" spans="1:3">
      <c r="A38" s="9" t="s">
        <v>139</v>
      </c>
    </row>
    <row r="39" spans="1:3">
      <c r="A39" s="9" t="s">
        <v>140</v>
      </c>
    </row>
    <row r="40" spans="1:3">
      <c r="A40" s="9" t="s">
        <v>141</v>
      </c>
    </row>
    <row r="41" spans="1:3">
      <c r="A41" s="9" t="s">
        <v>142</v>
      </c>
    </row>
    <row r="42" spans="1:3">
      <c r="A42" s="9" t="s">
        <v>150</v>
      </c>
    </row>
    <row r="43" spans="1:3">
      <c r="A43" s="9" t="s">
        <v>149</v>
      </c>
    </row>
    <row r="55" spans="1:3">
      <c r="A55" s="32"/>
      <c r="B55" s="32" t="s">
        <v>73</v>
      </c>
      <c r="C55" s="32" t="s">
        <v>74</v>
      </c>
    </row>
    <row r="56" spans="1:3">
      <c r="A56" s="33" t="s">
        <v>75</v>
      </c>
      <c r="B56" s="34">
        <v>0.32</v>
      </c>
      <c r="C56" s="34">
        <f t="shared" ref="C56:C61" si="0">1-B56</f>
        <v>0.67999999999999994</v>
      </c>
    </row>
    <row r="57" spans="1:3">
      <c r="A57" s="33" t="s">
        <v>76</v>
      </c>
      <c r="B57" s="34">
        <v>0.55000000000000004</v>
      </c>
      <c r="C57" s="34">
        <f t="shared" si="0"/>
        <v>0.44999999999999996</v>
      </c>
    </row>
    <row r="58" spans="1:3">
      <c r="A58" s="33" t="s">
        <v>77</v>
      </c>
      <c r="B58" s="34">
        <v>0.6</v>
      </c>
      <c r="C58" s="34">
        <f t="shared" si="0"/>
        <v>0.4</v>
      </c>
    </row>
    <row r="59" spans="1:3">
      <c r="A59" s="33" t="s">
        <v>78</v>
      </c>
      <c r="B59" s="34">
        <v>0.73</v>
      </c>
      <c r="C59" s="34">
        <f t="shared" si="0"/>
        <v>0.27</v>
      </c>
    </row>
    <row r="60" spans="1:3">
      <c r="A60" s="33" t="s">
        <v>79</v>
      </c>
      <c r="B60" s="34">
        <v>0.82</v>
      </c>
      <c r="C60" s="34">
        <f t="shared" si="0"/>
        <v>0.18000000000000005</v>
      </c>
    </row>
    <row r="61" spans="1:3">
      <c r="A61" s="33" t="s">
        <v>80</v>
      </c>
      <c r="B61" s="34">
        <v>0.76</v>
      </c>
      <c r="C61" s="34">
        <f t="shared" si="0"/>
        <v>0.24</v>
      </c>
    </row>
    <row r="63" spans="1:3">
      <c r="A63" s="9" t="s">
        <v>143</v>
      </c>
    </row>
    <row r="64" spans="1:3">
      <c r="A64" s="9" t="s">
        <v>144</v>
      </c>
    </row>
    <row r="65" spans="1:3">
      <c r="A65" s="9" t="s">
        <v>145</v>
      </c>
    </row>
    <row r="66" spans="1:3">
      <c r="A66" s="9" t="s">
        <v>146</v>
      </c>
    </row>
    <row r="79" spans="1:3">
      <c r="A79" s="29" t="s">
        <v>65</v>
      </c>
      <c r="B79" s="29" t="s">
        <v>66</v>
      </c>
      <c r="C79" s="29" t="s">
        <v>67</v>
      </c>
    </row>
    <row r="80" spans="1:3">
      <c r="A80" s="30" t="s">
        <v>68</v>
      </c>
      <c r="B80" s="30">
        <v>76</v>
      </c>
      <c r="C80" s="31">
        <v>0.85699999999999998</v>
      </c>
    </row>
    <row r="81" spans="1:3">
      <c r="A81" s="30" t="s">
        <v>69</v>
      </c>
      <c r="B81" s="30">
        <v>88</v>
      </c>
      <c r="C81" s="31">
        <v>0.89200000000000002</v>
      </c>
    </row>
    <row r="82" spans="1:3">
      <c r="A82" s="30" t="s">
        <v>70</v>
      </c>
      <c r="B82" s="30">
        <v>85</v>
      </c>
      <c r="C82" s="31">
        <v>0.86399999999999999</v>
      </c>
    </row>
    <row r="83" spans="1:3">
      <c r="A83" s="30" t="s">
        <v>71</v>
      </c>
      <c r="B83" s="30">
        <v>89</v>
      </c>
      <c r="C83" s="31">
        <v>0.95</v>
      </c>
    </row>
    <row r="84" spans="1:3">
      <c r="A84" s="30" t="s">
        <v>72</v>
      </c>
      <c r="B84" s="30">
        <v>88</v>
      </c>
      <c r="C84" s="31">
        <v>0.92600000000000005</v>
      </c>
    </row>
    <row r="86" spans="1:3">
      <c r="A86" s="9" t="s">
        <v>147</v>
      </c>
    </row>
    <row r="87" spans="1:3">
      <c r="A87" s="9" t="s">
        <v>148</v>
      </c>
    </row>
    <row r="88" spans="1:3">
      <c r="A88" s="9" t="s">
        <v>151</v>
      </c>
    </row>
    <row r="89" spans="1:3">
      <c r="A89" s="9" t="s">
        <v>152</v>
      </c>
    </row>
    <row r="102" spans="1:3">
      <c r="A102" s="48" t="s">
        <v>65</v>
      </c>
      <c r="B102" s="48" t="s">
        <v>66</v>
      </c>
      <c r="C102" s="48" t="s">
        <v>67</v>
      </c>
    </row>
    <row r="103" spans="1:3">
      <c r="A103" s="49" t="s">
        <v>68</v>
      </c>
      <c r="B103" s="49">
        <v>76</v>
      </c>
      <c r="C103" s="50">
        <v>0.85699999999999998</v>
      </c>
    </row>
    <row r="104" spans="1:3">
      <c r="A104" s="49" t="s">
        <v>69</v>
      </c>
      <c r="B104" s="49">
        <v>88</v>
      </c>
      <c r="C104" s="50">
        <v>0.89200000000000002</v>
      </c>
    </row>
    <row r="105" spans="1:3">
      <c r="A105" s="49" t="s">
        <v>70</v>
      </c>
      <c r="B105" s="49">
        <v>85</v>
      </c>
      <c r="C105" s="50">
        <v>0.86399999999999999</v>
      </c>
    </row>
    <row r="106" spans="1:3">
      <c r="A106" s="49" t="s">
        <v>71</v>
      </c>
      <c r="B106" s="49">
        <v>89</v>
      </c>
      <c r="C106" s="50">
        <v>0.95</v>
      </c>
    </row>
    <row r="107" spans="1:3">
      <c r="A107" s="49" t="s">
        <v>72</v>
      </c>
      <c r="B107" s="49">
        <v>88</v>
      </c>
      <c r="C107" s="50">
        <v>0.92600000000000005</v>
      </c>
    </row>
  </sheetData>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0AEBA-D1E1-EA49-93B4-ECCC549DA1FA}">
  <dimension ref="A1:E81"/>
  <sheetViews>
    <sheetView topLeftCell="A37" zoomScale="120" zoomScaleNormal="120" workbookViewId="0">
      <selection activeCell="E43" sqref="E43"/>
    </sheetView>
  </sheetViews>
  <sheetFormatPr baseColWidth="10" defaultRowHeight="15"/>
  <sheetData>
    <row r="1" spans="1:5">
      <c r="A1" s="14" t="s">
        <v>45</v>
      </c>
      <c r="B1" s="14" t="s">
        <v>29</v>
      </c>
      <c r="C1" s="14" t="s">
        <v>30</v>
      </c>
      <c r="D1" s="14" t="s">
        <v>31</v>
      </c>
      <c r="E1" s="14" t="s">
        <v>54</v>
      </c>
    </row>
    <row r="2" spans="1:5">
      <c r="A2" s="16" t="s">
        <v>32</v>
      </c>
      <c r="B2" s="17">
        <v>158</v>
      </c>
      <c r="C2" s="17">
        <v>249</v>
      </c>
      <c r="D2" s="17">
        <v>82</v>
      </c>
      <c r="E2" s="17">
        <f t="shared" ref="E2:E10" si="0">SUM(B2:D2)</f>
        <v>489</v>
      </c>
    </row>
    <row r="3" spans="1:5">
      <c r="A3" s="16" t="s">
        <v>33</v>
      </c>
      <c r="B3" s="17">
        <v>75</v>
      </c>
      <c r="C3" s="17">
        <v>404</v>
      </c>
      <c r="D3" s="17">
        <v>270</v>
      </c>
      <c r="E3" s="17">
        <f t="shared" si="0"/>
        <v>749</v>
      </c>
    </row>
    <row r="4" spans="1:5">
      <c r="A4" s="16" t="s">
        <v>34</v>
      </c>
      <c r="B4" s="17">
        <v>141</v>
      </c>
      <c r="C4" s="17">
        <v>119</v>
      </c>
      <c r="D4" s="17">
        <v>226</v>
      </c>
      <c r="E4" s="17">
        <f t="shared" si="0"/>
        <v>486</v>
      </c>
    </row>
    <row r="5" spans="1:5">
      <c r="A5" s="16" t="s">
        <v>35</v>
      </c>
      <c r="B5" s="17">
        <v>39</v>
      </c>
      <c r="C5" s="17">
        <v>56</v>
      </c>
      <c r="D5" s="17">
        <v>52</v>
      </c>
      <c r="E5" s="17">
        <f t="shared" si="0"/>
        <v>147</v>
      </c>
    </row>
    <row r="6" spans="1:5">
      <c r="A6" s="16" t="s">
        <v>36</v>
      </c>
      <c r="B6" s="17">
        <v>33</v>
      </c>
      <c r="C6" s="17">
        <v>30</v>
      </c>
      <c r="D6" s="17">
        <v>56</v>
      </c>
      <c r="E6" s="17">
        <f t="shared" si="0"/>
        <v>119</v>
      </c>
    </row>
    <row r="7" spans="1:5">
      <c r="A7" s="16" t="s">
        <v>37</v>
      </c>
      <c r="B7" s="17">
        <v>108</v>
      </c>
      <c r="C7" s="17">
        <v>145</v>
      </c>
      <c r="D7" s="17">
        <v>63</v>
      </c>
      <c r="E7" s="17">
        <f t="shared" si="0"/>
        <v>316</v>
      </c>
    </row>
    <row r="8" spans="1:5">
      <c r="A8" s="16" t="s">
        <v>38</v>
      </c>
      <c r="B8" s="17">
        <v>138</v>
      </c>
      <c r="C8" s="17">
        <v>52</v>
      </c>
      <c r="D8" s="17">
        <v>91</v>
      </c>
      <c r="E8" s="17">
        <f t="shared" si="0"/>
        <v>281</v>
      </c>
    </row>
    <row r="9" spans="1:5">
      <c r="A9" s="16" t="s">
        <v>39</v>
      </c>
      <c r="B9" s="17">
        <v>56</v>
      </c>
      <c r="C9" s="17">
        <v>155</v>
      </c>
      <c r="D9" s="17">
        <v>185</v>
      </c>
      <c r="E9" s="17">
        <f t="shared" si="0"/>
        <v>396</v>
      </c>
    </row>
    <row r="10" spans="1:5">
      <c r="A10" s="16" t="s">
        <v>50</v>
      </c>
      <c r="B10" s="17">
        <v>99</v>
      </c>
      <c r="C10" s="17">
        <v>102</v>
      </c>
      <c r="D10" s="17">
        <v>105</v>
      </c>
      <c r="E10" s="17">
        <f t="shared" si="0"/>
        <v>306</v>
      </c>
    </row>
    <row r="12" spans="1:5">
      <c r="A12" s="41" t="s">
        <v>155</v>
      </c>
    </row>
    <row r="13" spans="1:5">
      <c r="A13" s="9" t="s">
        <v>156</v>
      </c>
    </row>
    <row r="14" spans="1:5">
      <c r="A14" s="9" t="s">
        <v>157</v>
      </c>
    </row>
    <row r="15" spans="1:5">
      <c r="A15" s="9" t="s">
        <v>158</v>
      </c>
    </row>
    <row r="17" spans="1:3">
      <c r="A17" s="9" t="s">
        <v>159</v>
      </c>
    </row>
    <row r="18" spans="1:3">
      <c r="A18" s="9" t="s">
        <v>160</v>
      </c>
    </row>
    <row r="19" spans="1:3">
      <c r="A19" s="9" t="s">
        <v>161</v>
      </c>
    </row>
    <row r="20" spans="1:3">
      <c r="A20" s="9" t="s">
        <v>162</v>
      </c>
    </row>
    <row r="30" spans="1:3">
      <c r="A30" s="32"/>
      <c r="B30" s="32" t="s">
        <v>56</v>
      </c>
      <c r="C30" s="32" t="s">
        <v>55</v>
      </c>
    </row>
    <row r="31" spans="1:3">
      <c r="A31" s="46" t="s">
        <v>57</v>
      </c>
      <c r="B31" s="47">
        <v>41760</v>
      </c>
      <c r="C31" s="46">
        <v>5</v>
      </c>
    </row>
    <row r="32" spans="1:3">
      <c r="A32" s="46" t="s">
        <v>58</v>
      </c>
      <c r="B32" s="47">
        <v>41763</v>
      </c>
      <c r="C32" s="46">
        <v>3</v>
      </c>
    </row>
    <row r="33" spans="1:5">
      <c r="A33" s="46" t="s">
        <v>59</v>
      </c>
      <c r="B33" s="47">
        <v>41765</v>
      </c>
      <c r="C33" s="46">
        <v>3</v>
      </c>
    </row>
    <row r="34" spans="1:5">
      <c r="A34" s="46" t="s">
        <v>60</v>
      </c>
      <c r="B34" s="47">
        <v>41767</v>
      </c>
      <c r="C34" s="46">
        <v>1</v>
      </c>
    </row>
    <row r="35" spans="1:5">
      <c r="A35" s="46" t="s">
        <v>61</v>
      </c>
      <c r="B35" s="47">
        <v>41768</v>
      </c>
      <c r="C35" s="46">
        <v>10</v>
      </c>
    </row>
    <row r="36" spans="1:5">
      <c r="A36" s="46" t="s">
        <v>62</v>
      </c>
      <c r="B36" s="47">
        <v>41778</v>
      </c>
      <c r="C36" s="46">
        <v>5</v>
      </c>
    </row>
    <row r="37" spans="1:5">
      <c r="A37" s="46" t="s">
        <v>63</v>
      </c>
      <c r="B37" s="47">
        <v>41782</v>
      </c>
      <c r="C37" s="46">
        <v>3</v>
      </c>
    </row>
    <row r="38" spans="1:5">
      <c r="A38" s="46" t="s">
        <v>64</v>
      </c>
      <c r="B38" s="47">
        <v>41785</v>
      </c>
      <c r="C38" s="46">
        <v>5</v>
      </c>
    </row>
    <row r="40" spans="1:5">
      <c r="A40" s="9" t="s">
        <v>163</v>
      </c>
    </row>
    <row r="41" spans="1:5">
      <c r="A41" s="9" t="s">
        <v>164</v>
      </c>
    </row>
    <row r="42" spans="1:5">
      <c r="A42" s="9" t="s">
        <v>165</v>
      </c>
    </row>
    <row r="43" spans="1:5">
      <c r="A43" s="9" t="s">
        <v>166</v>
      </c>
    </row>
    <row r="47" spans="1:5">
      <c r="A47" s="14" t="s">
        <v>45</v>
      </c>
      <c r="B47" s="14" t="s">
        <v>46</v>
      </c>
      <c r="C47" s="14" t="s">
        <v>47</v>
      </c>
      <c r="D47" s="14" t="s">
        <v>48</v>
      </c>
      <c r="E47" s="14" t="s">
        <v>49</v>
      </c>
    </row>
    <row r="48" spans="1:5">
      <c r="A48" s="16" t="s">
        <v>32</v>
      </c>
      <c r="B48" s="21">
        <v>382</v>
      </c>
      <c r="C48" s="22">
        <f t="shared" ref="C48:C59" si="1">MAX($B$48:$B$59)</f>
        <v>692</v>
      </c>
      <c r="D48" s="22">
        <f t="shared" ref="D48:D59" si="2">MIN($B$48:$B$59)</f>
        <v>220</v>
      </c>
      <c r="E48" s="22">
        <v>200</v>
      </c>
    </row>
    <row r="49" spans="1:5">
      <c r="A49" s="16" t="s">
        <v>33</v>
      </c>
      <c r="B49" s="23">
        <v>222</v>
      </c>
      <c r="C49" s="22">
        <f t="shared" si="1"/>
        <v>692</v>
      </c>
      <c r="D49" s="22">
        <f t="shared" si="2"/>
        <v>220</v>
      </c>
      <c r="E49" s="17" t="e">
        <f>NA()</f>
        <v>#N/A</v>
      </c>
    </row>
    <row r="50" spans="1:5">
      <c r="A50" s="16" t="s">
        <v>34</v>
      </c>
      <c r="B50" s="23">
        <v>507</v>
      </c>
      <c r="C50" s="22">
        <f t="shared" si="1"/>
        <v>692</v>
      </c>
      <c r="D50" s="22">
        <f t="shared" si="2"/>
        <v>220</v>
      </c>
      <c r="E50" s="17" t="e">
        <f>NA()</f>
        <v>#N/A</v>
      </c>
    </row>
    <row r="51" spans="1:5">
      <c r="A51" s="16" t="s">
        <v>35</v>
      </c>
      <c r="B51" s="23">
        <v>582</v>
      </c>
      <c r="C51" s="22">
        <f t="shared" si="1"/>
        <v>692</v>
      </c>
      <c r="D51" s="22">
        <f t="shared" si="2"/>
        <v>220</v>
      </c>
      <c r="E51" s="17" t="e">
        <f>NA()</f>
        <v>#N/A</v>
      </c>
    </row>
    <row r="52" spans="1:5">
      <c r="A52" s="16" t="s">
        <v>36</v>
      </c>
      <c r="B52" s="23">
        <v>401</v>
      </c>
      <c r="C52" s="22">
        <f t="shared" si="1"/>
        <v>692</v>
      </c>
      <c r="D52" s="22">
        <f t="shared" si="2"/>
        <v>220</v>
      </c>
      <c r="E52" s="17" t="e">
        <f>NA()</f>
        <v>#N/A</v>
      </c>
    </row>
    <row r="53" spans="1:5">
      <c r="A53" s="16" t="s">
        <v>37</v>
      </c>
      <c r="B53" s="23">
        <v>334</v>
      </c>
      <c r="C53" s="22">
        <f t="shared" si="1"/>
        <v>692</v>
      </c>
      <c r="D53" s="22">
        <f t="shared" si="2"/>
        <v>220</v>
      </c>
      <c r="E53" s="17" t="e">
        <f>NA()</f>
        <v>#N/A</v>
      </c>
    </row>
    <row r="54" spans="1:5">
      <c r="A54" s="16" t="s">
        <v>38</v>
      </c>
      <c r="B54" s="23">
        <v>510</v>
      </c>
      <c r="C54" s="22">
        <f t="shared" si="1"/>
        <v>692</v>
      </c>
      <c r="D54" s="22">
        <f t="shared" si="2"/>
        <v>220</v>
      </c>
      <c r="E54" s="17" t="e">
        <f>NA()</f>
        <v>#N/A</v>
      </c>
    </row>
    <row r="55" spans="1:5">
      <c r="A55" s="16" t="s">
        <v>39</v>
      </c>
      <c r="B55" s="23">
        <v>220</v>
      </c>
      <c r="C55" s="22">
        <f t="shared" si="1"/>
        <v>692</v>
      </c>
      <c r="D55" s="22">
        <f t="shared" si="2"/>
        <v>220</v>
      </c>
      <c r="E55" s="17" t="e">
        <f>NA()</f>
        <v>#N/A</v>
      </c>
    </row>
    <row r="56" spans="1:5">
      <c r="A56" s="16" t="s">
        <v>50</v>
      </c>
      <c r="B56" s="23">
        <v>373</v>
      </c>
      <c r="C56" s="22">
        <f t="shared" si="1"/>
        <v>692</v>
      </c>
      <c r="D56" s="22">
        <f t="shared" si="2"/>
        <v>220</v>
      </c>
      <c r="E56" s="17" t="e">
        <f>NA()</f>
        <v>#N/A</v>
      </c>
    </row>
    <row r="57" spans="1:5">
      <c r="A57" s="16" t="s">
        <v>51</v>
      </c>
      <c r="B57" s="23">
        <v>439</v>
      </c>
      <c r="C57" s="22">
        <f t="shared" si="1"/>
        <v>692</v>
      </c>
      <c r="D57" s="22">
        <f t="shared" si="2"/>
        <v>220</v>
      </c>
      <c r="E57" s="17" t="e">
        <f>NA()</f>
        <v>#N/A</v>
      </c>
    </row>
    <row r="58" spans="1:5">
      <c r="A58" s="16" t="s">
        <v>52</v>
      </c>
      <c r="B58" s="23">
        <v>428</v>
      </c>
      <c r="C58" s="22">
        <f t="shared" si="1"/>
        <v>692</v>
      </c>
      <c r="D58" s="22">
        <f t="shared" si="2"/>
        <v>220</v>
      </c>
      <c r="E58" s="17" t="e">
        <f>NA()</f>
        <v>#N/A</v>
      </c>
    </row>
    <row r="59" spans="1:5">
      <c r="A59" s="16" t="s">
        <v>53</v>
      </c>
      <c r="B59" s="23">
        <v>692</v>
      </c>
      <c r="C59" s="22">
        <f t="shared" si="1"/>
        <v>692</v>
      </c>
      <c r="D59" s="22">
        <f t="shared" si="2"/>
        <v>220</v>
      </c>
      <c r="E59" s="17">
        <v>650</v>
      </c>
    </row>
    <row r="61" spans="1:5">
      <c r="A61" s="9" t="s">
        <v>167</v>
      </c>
    </row>
    <row r="62" spans="1:5">
      <c r="A62" s="19" t="s">
        <v>168</v>
      </c>
    </row>
    <row r="63" spans="1:5">
      <c r="A63" s="19" t="s">
        <v>169</v>
      </c>
    </row>
    <row r="64" spans="1:5">
      <c r="A64" s="20" t="s">
        <v>170</v>
      </c>
    </row>
    <row r="68" spans="1:4">
      <c r="A68" s="14" t="s">
        <v>26</v>
      </c>
      <c r="B68" s="15" t="s">
        <v>46</v>
      </c>
      <c r="C68" s="15" t="s">
        <v>47</v>
      </c>
      <c r="D68" s="15" t="s">
        <v>48</v>
      </c>
    </row>
    <row r="69" spans="1:4">
      <c r="A69" s="16" t="s">
        <v>42</v>
      </c>
      <c r="B69" s="17">
        <v>26</v>
      </c>
      <c r="C69" s="17" t="e">
        <f t="shared" ref="C69:C77" si="3">IF(MAX($B$69:$B$77)=B69,B69,NA())</f>
        <v>#N/A</v>
      </c>
      <c r="D69" s="17" t="e">
        <f t="shared" ref="D69:D77" si="4">IF(MIN($B$69:$B$77)=B69,B69,NA())</f>
        <v>#N/A</v>
      </c>
    </row>
    <row r="70" spans="1:4">
      <c r="A70" s="16" t="s">
        <v>43</v>
      </c>
      <c r="B70" s="17">
        <v>23</v>
      </c>
      <c r="C70" s="17" t="e">
        <f t="shared" si="3"/>
        <v>#N/A</v>
      </c>
      <c r="D70" s="17" t="e">
        <f t="shared" si="4"/>
        <v>#N/A</v>
      </c>
    </row>
    <row r="71" spans="1:4">
      <c r="A71" s="16" t="s">
        <v>44</v>
      </c>
      <c r="B71" s="17">
        <v>55</v>
      </c>
      <c r="C71" s="17">
        <f t="shared" si="3"/>
        <v>55</v>
      </c>
      <c r="D71" s="17" t="e">
        <f t="shared" si="4"/>
        <v>#N/A</v>
      </c>
    </row>
    <row r="72" spans="1:4">
      <c r="A72" s="16" t="s">
        <v>81</v>
      </c>
      <c r="B72" s="17">
        <v>37</v>
      </c>
      <c r="C72" s="17" t="e">
        <f t="shared" si="3"/>
        <v>#N/A</v>
      </c>
      <c r="D72" s="17" t="e">
        <f t="shared" si="4"/>
        <v>#N/A</v>
      </c>
    </row>
    <row r="73" spans="1:4">
      <c r="A73" s="16" t="s">
        <v>82</v>
      </c>
      <c r="B73" s="17">
        <v>39</v>
      </c>
      <c r="C73" s="17" t="e">
        <f t="shared" si="3"/>
        <v>#N/A</v>
      </c>
      <c r="D73" s="17" t="e">
        <f t="shared" si="4"/>
        <v>#N/A</v>
      </c>
    </row>
    <row r="74" spans="1:4">
      <c r="A74" s="16" t="s">
        <v>83</v>
      </c>
      <c r="B74" s="17">
        <v>28</v>
      </c>
      <c r="C74" s="17" t="e">
        <f t="shared" si="3"/>
        <v>#N/A</v>
      </c>
      <c r="D74" s="17" t="e">
        <f t="shared" si="4"/>
        <v>#N/A</v>
      </c>
    </row>
    <row r="75" spans="1:4">
      <c r="A75" s="16" t="s">
        <v>84</v>
      </c>
      <c r="B75" s="17">
        <v>22</v>
      </c>
      <c r="C75" s="17" t="e">
        <f t="shared" si="3"/>
        <v>#N/A</v>
      </c>
      <c r="D75" s="17">
        <f t="shared" si="4"/>
        <v>22</v>
      </c>
    </row>
    <row r="76" spans="1:4">
      <c r="A76" s="16" t="s">
        <v>85</v>
      </c>
      <c r="B76" s="17">
        <v>35</v>
      </c>
      <c r="C76" s="17" t="e">
        <f t="shared" si="3"/>
        <v>#N/A</v>
      </c>
      <c r="D76" s="17" t="e">
        <f t="shared" si="4"/>
        <v>#N/A</v>
      </c>
    </row>
    <row r="77" spans="1:4">
      <c r="A77" s="16" t="s">
        <v>86</v>
      </c>
      <c r="B77" s="17">
        <v>38</v>
      </c>
      <c r="C77" s="17" t="e">
        <f t="shared" si="3"/>
        <v>#N/A</v>
      </c>
      <c r="D77" s="17" t="e">
        <f t="shared" si="4"/>
        <v>#N/A</v>
      </c>
    </row>
    <row r="79" spans="1:4">
      <c r="A79" s="9" t="s">
        <v>171</v>
      </c>
    </row>
    <row r="80" spans="1:4">
      <c r="A80" s="9" t="s">
        <v>172</v>
      </c>
    </row>
    <row r="81" spans="1:1">
      <c r="A81" s="9" t="s">
        <v>186</v>
      </c>
    </row>
  </sheetData>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B4FF0-CAF9-E04A-A5CD-5F2D450B2A1C}">
  <dimension ref="A1:J144"/>
  <sheetViews>
    <sheetView topLeftCell="A35" zoomScale="120" zoomScaleNormal="120" workbookViewId="0">
      <selection activeCell="G18" sqref="G18"/>
    </sheetView>
  </sheetViews>
  <sheetFormatPr baseColWidth="10" defaultRowHeight="15"/>
  <cols>
    <col min="1" max="1" width="12.83203125" customWidth="1"/>
    <col min="4" max="4" width="12.83203125" customWidth="1"/>
  </cols>
  <sheetData>
    <row r="1" spans="1:10">
      <c r="A1" s="14" t="s">
        <v>45</v>
      </c>
      <c r="B1" s="14" t="s">
        <v>182</v>
      </c>
      <c r="C1" s="14" t="s">
        <v>177</v>
      </c>
      <c r="D1" s="14" t="s">
        <v>178</v>
      </c>
      <c r="E1" s="14" t="s">
        <v>179</v>
      </c>
      <c r="F1" t="str" cm="1">
        <f t="array" ref="F1:F4">TRANSPOSE(B1:E1)</f>
        <v>彩盒</v>
      </c>
      <c r="G1">
        <v>2</v>
      </c>
      <c r="H1" s="14" t="s">
        <v>45</v>
      </c>
      <c r="I1" s="14" t="str" cm="1">
        <f t="array" ref="I1">INDEX(B1:E1,$G$1)</f>
        <v>宠物用品</v>
      </c>
      <c r="J1" s="14" t="s">
        <v>184</v>
      </c>
    </row>
    <row r="2" spans="1:10">
      <c r="A2" s="42" t="s">
        <v>32</v>
      </c>
      <c r="B2" s="42">
        <v>382003.87466317398</v>
      </c>
      <c r="C2" s="42">
        <v>364203.55034234998</v>
      </c>
      <c r="D2" s="42">
        <v>82190.393763</v>
      </c>
      <c r="E2" s="42">
        <v>57118.233818615401</v>
      </c>
      <c r="F2" t="str">
        <v>宠物用品</v>
      </c>
      <c r="G2">
        <v>4</v>
      </c>
      <c r="H2" s="42" t="s">
        <v>32</v>
      </c>
      <c r="I2" s="43" cm="1">
        <f t="array" ref="I2">INDEX(B2:E2,$G$1)</f>
        <v>364203.55034234998</v>
      </c>
      <c r="J2" s="43" t="e">
        <f>IF(I2=MAX($I$2:$I$13),ROUND(I2,2),NA())</f>
        <v>#N/A</v>
      </c>
    </row>
    <row r="3" spans="1:10">
      <c r="A3" s="42" t="s">
        <v>33</v>
      </c>
      <c r="B3" s="42">
        <v>222520.24863675001</v>
      </c>
      <c r="C3" s="42">
        <v>181175.6692077</v>
      </c>
      <c r="D3" s="42">
        <v>77177.717163209003</v>
      </c>
      <c r="E3" s="42">
        <v>282039.70225500001</v>
      </c>
      <c r="F3" t="str">
        <v>警告标</v>
      </c>
      <c r="H3" s="42" t="s">
        <v>33</v>
      </c>
      <c r="I3" s="43" cm="1">
        <f t="array" ref="I3">INDEX(B3:E3,$G$1)</f>
        <v>181175.6692077</v>
      </c>
      <c r="J3" s="43" t="e">
        <f t="shared" ref="J3:J13" si="0">IF(I3=MAX($I$2:$I$13),ROUND(I3,2),NA())</f>
        <v>#N/A</v>
      </c>
    </row>
    <row r="4" spans="1:10">
      <c r="A4" s="42" t="s">
        <v>34</v>
      </c>
      <c r="B4" s="42">
        <v>507398.66051713802</v>
      </c>
      <c r="C4" s="42">
        <v>867964.09338029998</v>
      </c>
      <c r="D4" s="42">
        <v>274581.57657788199</v>
      </c>
      <c r="E4" s="42">
        <v>267860.33682959998</v>
      </c>
      <c r="F4" t="str">
        <v>暖靴</v>
      </c>
      <c r="H4" s="42" t="s">
        <v>34</v>
      </c>
      <c r="I4" s="43" cm="1">
        <f t="array" ref="I4">INDEX(B4:E4,$G$1)</f>
        <v>867964.09338029998</v>
      </c>
      <c r="J4" s="43" t="e">
        <f t="shared" si="0"/>
        <v>#N/A</v>
      </c>
    </row>
    <row r="5" spans="1:10">
      <c r="A5" s="42" t="s">
        <v>35</v>
      </c>
      <c r="B5" s="42">
        <v>582530.53595565597</v>
      </c>
      <c r="C5" s="42">
        <v>1153034.6644532999</v>
      </c>
      <c r="D5" s="42">
        <v>216350.26289700001</v>
      </c>
      <c r="E5" s="42">
        <v>152184.76943099999</v>
      </c>
      <c r="H5" s="42" t="s">
        <v>35</v>
      </c>
      <c r="I5" s="43" cm="1">
        <f t="array" ref="I5">INDEX(B5:E5,$G$1)</f>
        <v>1153034.6644532999</v>
      </c>
      <c r="J5" s="43">
        <f t="shared" si="0"/>
        <v>1153034.6599999999</v>
      </c>
    </row>
    <row r="6" spans="1:10">
      <c r="A6" s="42" t="s">
        <v>36</v>
      </c>
      <c r="B6" s="42">
        <v>401726.38020000001</v>
      </c>
      <c r="C6" s="42">
        <v>381435.69970230001</v>
      </c>
      <c r="D6" s="42">
        <v>347903.07269691199</v>
      </c>
      <c r="E6" s="42">
        <v>392195.92825732002</v>
      </c>
      <c r="H6" s="42" t="s">
        <v>36</v>
      </c>
      <c r="I6" s="43" cm="1">
        <f t="array" ref="I6">INDEX(B6:E6,$G$1)</f>
        <v>381435.69970230001</v>
      </c>
      <c r="J6" s="43" t="e">
        <f t="shared" si="0"/>
        <v>#N/A</v>
      </c>
    </row>
    <row r="7" spans="1:10">
      <c r="A7" s="42" t="s">
        <v>37</v>
      </c>
      <c r="B7" s="42">
        <v>334359.9053865</v>
      </c>
      <c r="C7" s="42">
        <v>309793.18063531799</v>
      </c>
      <c r="D7" s="42">
        <v>406920.52441379998</v>
      </c>
      <c r="E7" s="42">
        <v>257433.08298899999</v>
      </c>
      <c r="H7" s="42" t="s">
        <v>37</v>
      </c>
      <c r="I7" s="43" cm="1">
        <f t="array" ref="I7">INDEX(B7:E7,$G$1)</f>
        <v>309793.18063531799</v>
      </c>
      <c r="J7" s="43" t="e">
        <f t="shared" si="0"/>
        <v>#N/A</v>
      </c>
    </row>
    <row r="8" spans="1:10">
      <c r="A8" s="42" t="s">
        <v>38</v>
      </c>
      <c r="B8" s="42">
        <v>510118.95270869997</v>
      </c>
      <c r="C8" s="42">
        <v>580041.42196275003</v>
      </c>
      <c r="D8" s="42">
        <v>347489.67221009999</v>
      </c>
      <c r="E8" s="42">
        <v>234712.95974729999</v>
      </c>
      <c r="H8" s="42" t="s">
        <v>38</v>
      </c>
      <c r="I8" s="43" cm="1">
        <f t="array" ref="I8">INDEX(B8:E8,$G$1)</f>
        <v>580041.42196275003</v>
      </c>
      <c r="J8" s="43" t="e">
        <f t="shared" si="0"/>
        <v>#N/A</v>
      </c>
    </row>
    <row r="9" spans="1:10">
      <c r="A9" s="42" t="s">
        <v>39</v>
      </c>
      <c r="B9" s="42">
        <v>220130.085822833</v>
      </c>
      <c r="C9" s="42">
        <v>150589.96349085</v>
      </c>
      <c r="D9" s="42">
        <v>462951.10162859998</v>
      </c>
      <c r="E9" s="42">
        <v>193999.30782770301</v>
      </c>
      <c r="H9" s="42" t="s">
        <v>39</v>
      </c>
      <c r="I9" s="43" cm="1">
        <f t="array" ref="I9">INDEX(B9:E9,$G$1)</f>
        <v>150589.96349085</v>
      </c>
      <c r="J9" s="43" t="e">
        <f t="shared" si="0"/>
        <v>#N/A</v>
      </c>
    </row>
    <row r="10" spans="1:10">
      <c r="A10" s="42" t="s">
        <v>50</v>
      </c>
      <c r="B10" s="42">
        <v>373503.19573377603</v>
      </c>
      <c r="C10" s="42">
        <v>408638.32068263099</v>
      </c>
      <c r="D10" s="42">
        <v>415767.62143544998</v>
      </c>
      <c r="E10" s="42">
        <v>336451.77412515</v>
      </c>
      <c r="H10" s="42" t="s">
        <v>50</v>
      </c>
      <c r="I10" s="43" cm="1">
        <f t="array" ref="I10">INDEX(B10:E10,$G$1)</f>
        <v>408638.32068263099</v>
      </c>
      <c r="J10" s="43" t="e">
        <f t="shared" si="0"/>
        <v>#N/A</v>
      </c>
    </row>
    <row r="11" spans="1:10">
      <c r="A11" s="42" t="s">
        <v>51</v>
      </c>
      <c r="B11" s="42">
        <v>439424.08198979998</v>
      </c>
      <c r="C11" s="42">
        <v>305883.12260910001</v>
      </c>
      <c r="D11" s="42">
        <v>307138.75165805803</v>
      </c>
      <c r="E11" s="42">
        <v>278499.72181439999</v>
      </c>
      <c r="H11" s="42" t="s">
        <v>51</v>
      </c>
      <c r="I11" s="43" cm="1">
        <f t="array" ref="I11">INDEX(B11:E11,$G$1)</f>
        <v>305883.12260910001</v>
      </c>
      <c r="J11" s="43" t="e">
        <f t="shared" si="0"/>
        <v>#N/A</v>
      </c>
    </row>
    <row r="12" spans="1:10">
      <c r="A12" s="42" t="s">
        <v>52</v>
      </c>
      <c r="B12" s="42">
        <v>428661.55981269199</v>
      </c>
      <c r="C12" s="42">
        <v>194589.08705880001</v>
      </c>
      <c r="D12" s="42">
        <v>560053.13337255002</v>
      </c>
      <c r="E12" s="42">
        <v>786852.40998707397</v>
      </c>
      <c r="H12" s="42" t="s">
        <v>52</v>
      </c>
      <c r="I12" s="43" cm="1">
        <f t="array" ref="I12">INDEX(B12:E12,$G$1)</f>
        <v>194589.08705880001</v>
      </c>
      <c r="J12" s="43" t="e">
        <f t="shared" si="0"/>
        <v>#N/A</v>
      </c>
    </row>
    <row r="13" spans="1:10">
      <c r="A13" s="42" t="s">
        <v>53</v>
      </c>
      <c r="B13" s="42">
        <v>692964.70983135398</v>
      </c>
      <c r="C13" s="42">
        <v>111893.048736</v>
      </c>
      <c r="D13" s="42">
        <v>513013.92828901397</v>
      </c>
      <c r="E13" s="42">
        <v>1019700.94490051</v>
      </c>
      <c r="H13" s="42" t="s">
        <v>53</v>
      </c>
      <c r="I13" s="43" cm="1">
        <f t="array" ref="I13">INDEX(B13:E13,$G$1)</f>
        <v>111893.048736</v>
      </c>
      <c r="J13" s="43" t="e">
        <f t="shared" si="0"/>
        <v>#N/A</v>
      </c>
    </row>
    <row r="15" spans="1:10">
      <c r="A15" s="41" t="s">
        <v>180</v>
      </c>
    </row>
    <row r="16" spans="1:10">
      <c r="A16" s="9" t="s">
        <v>181</v>
      </c>
    </row>
    <row r="17" spans="1:5">
      <c r="A17" s="9" t="s">
        <v>183</v>
      </c>
    </row>
    <row r="18" spans="1:5">
      <c r="A18" s="9" t="s">
        <v>185</v>
      </c>
    </row>
    <row r="19" spans="1:5">
      <c r="A19" s="9" t="s">
        <v>187</v>
      </c>
    </row>
    <row r="22" spans="1:5">
      <c r="A22" s="41" t="s">
        <v>188</v>
      </c>
    </row>
    <row r="23" spans="1:5">
      <c r="A23" s="41" t="s">
        <v>189</v>
      </c>
    </row>
    <row r="24" spans="1:5">
      <c r="A24" s="41" t="s">
        <v>190</v>
      </c>
    </row>
    <row r="26" spans="1:5">
      <c r="B26" t="b">
        <v>1</v>
      </c>
      <c r="C26" t="b">
        <v>0</v>
      </c>
      <c r="D26" t="b">
        <v>1</v>
      </c>
      <c r="E26" t="b">
        <v>1</v>
      </c>
    </row>
    <row r="27" spans="1:5">
      <c r="A27" s="14" t="s">
        <v>45</v>
      </c>
      <c r="B27" s="14" t="s">
        <v>182</v>
      </c>
      <c r="C27" s="14" t="s">
        <v>177</v>
      </c>
      <c r="D27" s="14" t="s">
        <v>178</v>
      </c>
      <c r="E27" s="14" t="s">
        <v>179</v>
      </c>
    </row>
    <row r="28" spans="1:5">
      <c r="A28" s="42" t="s">
        <v>32</v>
      </c>
      <c r="B28" s="43">
        <f t="shared" ref="B28:E28" si="1">IF(B$26,B2,NA())</f>
        <v>382003.87466317398</v>
      </c>
      <c r="C28" s="43" t="e">
        <f t="shared" si="1"/>
        <v>#N/A</v>
      </c>
      <c r="D28" s="43">
        <f t="shared" si="1"/>
        <v>82190.393763</v>
      </c>
      <c r="E28" s="43">
        <f t="shared" si="1"/>
        <v>57118.233818615401</v>
      </c>
    </row>
    <row r="29" spans="1:5">
      <c r="A29" s="42" t="s">
        <v>33</v>
      </c>
      <c r="B29" s="43">
        <f t="shared" ref="B29:E29" si="2">IF(B$26,B3,NA())</f>
        <v>222520.24863675001</v>
      </c>
      <c r="C29" s="43" t="e">
        <f t="shared" si="2"/>
        <v>#N/A</v>
      </c>
      <c r="D29" s="43">
        <f t="shared" si="2"/>
        <v>77177.717163209003</v>
      </c>
      <c r="E29" s="43">
        <f t="shared" si="2"/>
        <v>282039.70225500001</v>
      </c>
    </row>
    <row r="30" spans="1:5">
      <c r="A30" s="42" t="s">
        <v>34</v>
      </c>
      <c r="B30" s="43">
        <f t="shared" ref="B30:E30" si="3">IF(B$26,B4,NA())</f>
        <v>507398.66051713802</v>
      </c>
      <c r="C30" s="43" t="e">
        <f t="shared" si="3"/>
        <v>#N/A</v>
      </c>
      <c r="D30" s="43">
        <f t="shared" si="3"/>
        <v>274581.57657788199</v>
      </c>
      <c r="E30" s="43">
        <f t="shared" si="3"/>
        <v>267860.33682959998</v>
      </c>
    </row>
    <row r="31" spans="1:5">
      <c r="A31" s="42" t="s">
        <v>35</v>
      </c>
      <c r="B31" s="43">
        <f t="shared" ref="B31:E31" si="4">IF(B$26,B5,NA())</f>
        <v>582530.53595565597</v>
      </c>
      <c r="C31" s="43" t="e">
        <f t="shared" si="4"/>
        <v>#N/A</v>
      </c>
      <c r="D31" s="43">
        <f t="shared" si="4"/>
        <v>216350.26289700001</v>
      </c>
      <c r="E31" s="43">
        <f t="shared" si="4"/>
        <v>152184.76943099999</v>
      </c>
    </row>
    <row r="32" spans="1:5">
      <c r="A32" s="42" t="s">
        <v>36</v>
      </c>
      <c r="B32" s="43">
        <f t="shared" ref="B32:E32" si="5">IF(B$26,B6,NA())</f>
        <v>401726.38020000001</v>
      </c>
      <c r="C32" s="43" t="e">
        <f t="shared" si="5"/>
        <v>#N/A</v>
      </c>
      <c r="D32" s="43">
        <f t="shared" si="5"/>
        <v>347903.07269691199</v>
      </c>
      <c r="E32" s="43">
        <f t="shared" si="5"/>
        <v>392195.92825732002</v>
      </c>
    </row>
    <row r="33" spans="1:5">
      <c r="A33" s="42" t="s">
        <v>37</v>
      </c>
      <c r="B33" s="43">
        <f t="shared" ref="B33:E33" si="6">IF(B$26,B7,NA())</f>
        <v>334359.9053865</v>
      </c>
      <c r="C33" s="43" t="e">
        <f t="shared" si="6"/>
        <v>#N/A</v>
      </c>
      <c r="D33" s="43">
        <f t="shared" si="6"/>
        <v>406920.52441379998</v>
      </c>
      <c r="E33" s="43">
        <f t="shared" si="6"/>
        <v>257433.08298899999</v>
      </c>
    </row>
    <row r="34" spans="1:5">
      <c r="A34" s="42" t="s">
        <v>38</v>
      </c>
      <c r="B34" s="43">
        <f t="shared" ref="B34:E34" si="7">IF(B$26,B8,NA())</f>
        <v>510118.95270869997</v>
      </c>
      <c r="C34" s="43" t="e">
        <f t="shared" si="7"/>
        <v>#N/A</v>
      </c>
      <c r="D34" s="43">
        <f t="shared" si="7"/>
        <v>347489.67221009999</v>
      </c>
      <c r="E34" s="43">
        <f t="shared" si="7"/>
        <v>234712.95974729999</v>
      </c>
    </row>
    <row r="35" spans="1:5">
      <c r="A35" s="42" t="s">
        <v>39</v>
      </c>
      <c r="B35" s="43">
        <f t="shared" ref="B35:E35" si="8">IF(B$26,B9,NA())</f>
        <v>220130.085822833</v>
      </c>
      <c r="C35" s="43" t="e">
        <f t="shared" si="8"/>
        <v>#N/A</v>
      </c>
      <c r="D35" s="43">
        <f t="shared" si="8"/>
        <v>462951.10162859998</v>
      </c>
      <c r="E35" s="43">
        <f t="shared" si="8"/>
        <v>193999.30782770301</v>
      </c>
    </row>
    <row r="36" spans="1:5">
      <c r="A36" s="42" t="s">
        <v>50</v>
      </c>
      <c r="B36" s="43">
        <f t="shared" ref="B36:E36" si="9">IF(B$26,B10,NA())</f>
        <v>373503.19573377603</v>
      </c>
      <c r="C36" s="43" t="e">
        <f t="shared" si="9"/>
        <v>#N/A</v>
      </c>
      <c r="D36" s="43">
        <f t="shared" si="9"/>
        <v>415767.62143544998</v>
      </c>
      <c r="E36" s="43">
        <f t="shared" si="9"/>
        <v>336451.77412515</v>
      </c>
    </row>
    <row r="37" spans="1:5">
      <c r="A37" s="42" t="s">
        <v>51</v>
      </c>
      <c r="B37" s="43">
        <f t="shared" ref="B37:E37" si="10">IF(B$26,B11,NA())</f>
        <v>439424.08198979998</v>
      </c>
      <c r="C37" s="43" t="e">
        <f t="shared" si="10"/>
        <v>#N/A</v>
      </c>
      <c r="D37" s="43">
        <f t="shared" si="10"/>
        <v>307138.75165805803</v>
      </c>
      <c r="E37" s="43">
        <f t="shared" si="10"/>
        <v>278499.72181439999</v>
      </c>
    </row>
    <row r="38" spans="1:5">
      <c r="A38" s="42" t="s">
        <v>52</v>
      </c>
      <c r="B38" s="43">
        <f t="shared" ref="B38:E38" si="11">IF(B$26,B12,NA())</f>
        <v>428661.55981269199</v>
      </c>
      <c r="C38" s="43" t="e">
        <f t="shared" si="11"/>
        <v>#N/A</v>
      </c>
      <c r="D38" s="43">
        <f t="shared" si="11"/>
        <v>560053.13337255002</v>
      </c>
      <c r="E38" s="43">
        <f t="shared" si="11"/>
        <v>786852.40998707397</v>
      </c>
    </row>
    <row r="39" spans="1:5">
      <c r="A39" s="42" t="s">
        <v>53</v>
      </c>
      <c r="B39" s="43">
        <f t="shared" ref="B39:E39" si="12">IF(B$26,B13,NA())</f>
        <v>692964.70983135398</v>
      </c>
      <c r="C39" s="43" t="e">
        <f t="shared" si="12"/>
        <v>#N/A</v>
      </c>
      <c r="D39" s="43">
        <f t="shared" si="12"/>
        <v>513013.92828901397</v>
      </c>
      <c r="E39" s="43">
        <f t="shared" si="12"/>
        <v>1019700.94490051</v>
      </c>
    </row>
    <row r="45" spans="1:5">
      <c r="A45" s="51" t="s">
        <v>19</v>
      </c>
      <c r="B45" s="51" t="s">
        <v>191</v>
      </c>
      <c r="C45">
        <v>1</v>
      </c>
      <c r="D45" s="51" t="s">
        <v>19</v>
      </c>
      <c r="E45" s="51" t="s">
        <v>191</v>
      </c>
    </row>
    <row r="46" spans="1:5">
      <c r="A46" s="52" t="s">
        <v>192</v>
      </c>
      <c r="B46" s="52">
        <v>23504352</v>
      </c>
      <c r="D46" s="52" t="str" cm="1">
        <f t="array" ref="D46">INDEX(A46:A144,$C$45)</f>
        <v xml:space="preserve"> 2006/12/06</v>
      </c>
      <c r="E46" s="52" cm="1">
        <f t="array" ref="E46">INDEX(B46:B144,$C$45)</f>
        <v>23504352</v>
      </c>
    </row>
    <row r="47" spans="1:5">
      <c r="A47" s="52" t="s">
        <v>193</v>
      </c>
      <c r="B47" s="52">
        <v>26170088</v>
      </c>
      <c r="D47" s="52" t="str" cm="1">
        <f t="array" ref="D47">INDEX(A47:A145,$C$45)</f>
        <v xml:space="preserve"> 2006/12/07</v>
      </c>
      <c r="E47" s="52" cm="1">
        <f t="array" ref="E47">INDEX(B47:B145,$C$45)</f>
        <v>26170088</v>
      </c>
    </row>
    <row r="48" spans="1:5">
      <c r="A48" s="52" t="s">
        <v>194</v>
      </c>
      <c r="B48" s="52">
        <v>22125894</v>
      </c>
      <c r="D48" s="52" t="str" cm="1">
        <f t="array" ref="D48">INDEX(A48:A146,$C$45)</f>
        <v xml:space="preserve"> 2006/12/08</v>
      </c>
      <c r="E48" s="52" cm="1">
        <f t="array" ref="E48">INDEX(B48:B146,$C$45)</f>
        <v>22125894</v>
      </c>
    </row>
    <row r="49" spans="1:5">
      <c r="A49" s="52" t="s">
        <v>195</v>
      </c>
      <c r="B49" s="52">
        <v>20837233</v>
      </c>
      <c r="D49" s="52" t="str" cm="1">
        <f t="array" ref="D49">INDEX(A49:A147,$C$45)</f>
        <v xml:space="preserve"> 2006/12/11</v>
      </c>
      <c r="E49" s="52" cm="1">
        <f t="array" ref="E49">INDEX(B49:B147,$C$45)</f>
        <v>20837233</v>
      </c>
    </row>
    <row r="50" spans="1:5">
      <c r="A50" s="52" t="s">
        <v>196</v>
      </c>
      <c r="B50" s="52">
        <v>17400793</v>
      </c>
      <c r="D50" s="52" t="str" cm="1">
        <f t="array" ref="D50">INDEX(A50:A148,$C$45)</f>
        <v xml:space="preserve"> 2006/12/12</v>
      </c>
      <c r="E50" s="52" cm="1">
        <f t="array" ref="E50">INDEX(B50:B148,$C$45)</f>
        <v>17400793</v>
      </c>
    </row>
    <row r="51" spans="1:5">
      <c r="A51" s="52" t="s">
        <v>197</v>
      </c>
      <c r="B51" s="52">
        <v>25551184</v>
      </c>
      <c r="D51" s="52" t="str" cm="1">
        <f t="array" ref="D51">INDEX(A51:A149,$C$45)</f>
        <v xml:space="preserve"> 2006/12/13</v>
      </c>
      <c r="E51" s="52" cm="1">
        <f t="array" ref="E51">INDEX(B51:B149,$C$45)</f>
        <v>25551184</v>
      </c>
    </row>
    <row r="52" spans="1:5">
      <c r="A52" s="52" t="s">
        <v>198</v>
      </c>
      <c r="B52" s="52">
        <v>15818192</v>
      </c>
      <c r="D52" s="52" t="str" cm="1">
        <f t="array" ref="D52">INDEX(A52:A150,$C$45)</f>
        <v xml:space="preserve"> 2006/12/14</v>
      </c>
      <c r="E52" s="52" cm="1">
        <f t="array" ref="E52">INDEX(B52:B150,$C$45)</f>
        <v>15818192</v>
      </c>
    </row>
    <row r="53" spans="1:5">
      <c r="A53" s="52" t="s">
        <v>199</v>
      </c>
      <c r="B53" s="52">
        <v>22487599</v>
      </c>
      <c r="D53" s="52" t="str" cm="1">
        <f t="array" ref="D53">INDEX(A53:A151,$C$45)</f>
        <v xml:space="preserve"> 2006/12/15</v>
      </c>
      <c r="E53" s="52" cm="1">
        <f t="array" ref="E53">INDEX(B53:B151,$C$45)</f>
        <v>22487599</v>
      </c>
    </row>
    <row r="54" spans="1:5">
      <c r="A54" s="52" t="s">
        <v>200</v>
      </c>
      <c r="B54" s="52">
        <v>23940857</v>
      </c>
      <c r="D54" s="52" t="str" cm="1">
        <f t="array" ref="D54">INDEX(A54:A152,$C$45)</f>
        <v xml:space="preserve"> 2006/12/18</v>
      </c>
      <c r="E54" s="52" cm="1">
        <f t="array" ref="E54">INDEX(B54:B152,$C$45)</f>
        <v>23940857</v>
      </c>
    </row>
    <row r="55" spans="1:5">
      <c r="A55" s="52" t="s">
        <v>201</v>
      </c>
      <c r="B55" s="52">
        <v>18424502</v>
      </c>
      <c r="D55" s="52" t="str" cm="1">
        <f t="array" ref="D55">INDEX(A55:A153,$C$45)</f>
        <v xml:space="preserve"> 2006/12/19</v>
      </c>
      <c r="E55" s="52" cm="1">
        <f t="array" ref="E55">INDEX(B55:B153,$C$45)</f>
        <v>18424502</v>
      </c>
    </row>
    <row r="56" spans="1:5">
      <c r="A56" s="52" t="s">
        <v>202</v>
      </c>
      <c r="B56" s="52">
        <v>16769286</v>
      </c>
    </row>
    <row r="57" spans="1:5">
      <c r="A57" s="52" t="s">
        <v>203</v>
      </c>
      <c r="B57" s="52">
        <v>22173995</v>
      </c>
    </row>
    <row r="58" spans="1:5">
      <c r="A58" s="52" t="s">
        <v>204</v>
      </c>
      <c r="B58" s="52">
        <v>21280295</v>
      </c>
      <c r="D58" s="41" t="s">
        <v>291</v>
      </c>
    </row>
    <row r="59" spans="1:5">
      <c r="A59" s="52" t="s">
        <v>205</v>
      </c>
      <c r="B59" s="52">
        <v>32943083</v>
      </c>
      <c r="D59" s="41" t="s">
        <v>292</v>
      </c>
    </row>
    <row r="60" spans="1:5">
      <c r="A60" s="52" t="s">
        <v>206</v>
      </c>
      <c r="B60" s="52">
        <v>22223575</v>
      </c>
      <c r="D60" s="41" t="s">
        <v>293</v>
      </c>
    </row>
    <row r="61" spans="1:5">
      <c r="A61" s="52" t="s">
        <v>207</v>
      </c>
      <c r="B61" s="52">
        <v>19918132</v>
      </c>
    </row>
    <row r="62" spans="1:5">
      <c r="A62" s="52" t="s">
        <v>208</v>
      </c>
      <c r="B62" s="52">
        <v>26629082</v>
      </c>
    </row>
    <row r="63" spans="1:5">
      <c r="A63" s="52" t="s">
        <v>209</v>
      </c>
      <c r="B63" s="52">
        <v>28122105</v>
      </c>
    </row>
    <row r="64" spans="1:5">
      <c r="A64" s="52" t="s">
        <v>210</v>
      </c>
      <c r="B64" s="52">
        <v>50889423</v>
      </c>
    </row>
    <row r="65" spans="1:2">
      <c r="A65" s="52" t="s">
        <v>211</v>
      </c>
      <c r="B65" s="52">
        <v>35705586</v>
      </c>
    </row>
    <row r="66" spans="1:2">
      <c r="A66" s="52" t="s">
        <v>212</v>
      </c>
      <c r="B66" s="52">
        <v>25488876</v>
      </c>
    </row>
    <row r="67" spans="1:2">
      <c r="A67" s="52" t="s">
        <v>213</v>
      </c>
      <c r="B67" s="52">
        <v>32961946</v>
      </c>
    </row>
    <row r="68" spans="1:2">
      <c r="A68" s="52" t="s">
        <v>214</v>
      </c>
      <c r="B68" s="52">
        <v>35276836</v>
      </c>
    </row>
    <row r="69" spans="1:2">
      <c r="A69" s="52" t="s">
        <v>215</v>
      </c>
      <c r="B69" s="52">
        <v>22885931</v>
      </c>
    </row>
    <row r="70" spans="1:2">
      <c r="A70" s="52" t="s">
        <v>216</v>
      </c>
      <c r="B70" s="52">
        <v>23214839</v>
      </c>
    </row>
    <row r="71" spans="1:2">
      <c r="A71" s="52" t="s">
        <v>217</v>
      </c>
      <c r="B71" s="52">
        <v>22822883</v>
      </c>
    </row>
    <row r="72" spans="1:2">
      <c r="A72" s="52" t="s">
        <v>218</v>
      </c>
      <c r="B72" s="52">
        <v>20194184</v>
      </c>
    </row>
    <row r="73" spans="1:2">
      <c r="A73" s="52" t="s">
        <v>219</v>
      </c>
      <c r="B73" s="52">
        <v>29217135</v>
      </c>
    </row>
    <row r="74" spans="1:2">
      <c r="A74" s="52" t="s">
        <v>220</v>
      </c>
      <c r="B74" s="52">
        <v>35345006</v>
      </c>
    </row>
    <row r="75" spans="1:2">
      <c r="A75" s="52" t="s">
        <v>221</v>
      </c>
      <c r="B75" s="52">
        <v>29665178</v>
      </c>
    </row>
    <row r="76" spans="1:2">
      <c r="A76" s="52" t="s">
        <v>222</v>
      </c>
      <c r="B76" s="52">
        <v>42172602</v>
      </c>
    </row>
    <row r="77" spans="1:2">
      <c r="A77" s="52" t="s">
        <v>223</v>
      </c>
      <c r="B77" s="52">
        <v>49135174</v>
      </c>
    </row>
    <row r="78" spans="1:2">
      <c r="A78" s="52" t="s">
        <v>224</v>
      </c>
      <c r="B78" s="52">
        <v>35293836</v>
      </c>
    </row>
    <row r="79" spans="1:2">
      <c r="A79" s="52" t="s">
        <v>225</v>
      </c>
      <c r="B79" s="52">
        <v>28607594</v>
      </c>
    </row>
    <row r="80" spans="1:2">
      <c r="A80" s="52" t="s">
        <v>226</v>
      </c>
      <c r="B80" s="52">
        <v>37171143</v>
      </c>
    </row>
    <row r="81" spans="1:2">
      <c r="A81" s="52" t="s">
        <v>227</v>
      </c>
      <c r="B81" s="52">
        <v>37450598</v>
      </c>
    </row>
    <row r="82" spans="1:2">
      <c r="A82" s="52" t="s">
        <v>228</v>
      </c>
      <c r="B82" s="52">
        <v>38850850</v>
      </c>
    </row>
    <row r="83" spans="1:2">
      <c r="A83" s="52" t="s">
        <v>229</v>
      </c>
      <c r="B83" s="52">
        <v>28116984</v>
      </c>
    </row>
    <row r="84" spans="1:2">
      <c r="A84" s="52" t="s">
        <v>230</v>
      </c>
      <c r="B84" s="52">
        <v>17513926</v>
      </c>
    </row>
    <row r="85" spans="1:2">
      <c r="A85" s="52" t="s">
        <v>231</v>
      </c>
      <c r="B85" s="52">
        <v>19908988</v>
      </c>
    </row>
    <row r="86" spans="1:2">
      <c r="A86" s="52" t="s">
        <v>232</v>
      </c>
      <c r="B86" s="52">
        <v>27238656</v>
      </c>
    </row>
    <row r="87" spans="1:2">
      <c r="A87" s="52" t="s">
        <v>233</v>
      </c>
      <c r="B87" s="52">
        <v>51905083</v>
      </c>
    </row>
    <row r="88" spans="1:2">
      <c r="A88" s="52" t="s">
        <v>234</v>
      </c>
      <c r="B88" s="52">
        <v>40171146</v>
      </c>
    </row>
    <row r="89" spans="1:2">
      <c r="A89" s="52" t="s">
        <v>235</v>
      </c>
      <c r="B89" s="52">
        <v>16733808</v>
      </c>
    </row>
    <row r="90" spans="1:2">
      <c r="A90" s="52" t="s">
        <v>236</v>
      </c>
      <c r="B90" s="52">
        <v>16164196</v>
      </c>
    </row>
    <row r="91" spans="1:2">
      <c r="A91" s="52" t="s">
        <v>237</v>
      </c>
      <c r="B91" s="52">
        <v>14591761</v>
      </c>
    </row>
    <row r="92" spans="1:2">
      <c r="A92" s="52" t="s">
        <v>238</v>
      </c>
      <c r="B92" s="52">
        <v>10915882</v>
      </c>
    </row>
    <row r="93" spans="1:2">
      <c r="A93" s="52" t="s">
        <v>239</v>
      </c>
      <c r="B93" s="52">
        <v>13027003</v>
      </c>
    </row>
    <row r="94" spans="1:2">
      <c r="A94" s="52" t="s">
        <v>240</v>
      </c>
      <c r="B94" s="52">
        <v>13538672</v>
      </c>
    </row>
    <row r="95" spans="1:2">
      <c r="A95" s="52" t="s">
        <v>241</v>
      </c>
      <c r="B95" s="52">
        <v>22428437</v>
      </c>
    </row>
    <row r="96" spans="1:2">
      <c r="A96" s="52" t="s">
        <v>242</v>
      </c>
      <c r="B96" s="52">
        <v>25443200</v>
      </c>
    </row>
    <row r="97" spans="1:2">
      <c r="A97" s="52" t="s">
        <v>243</v>
      </c>
      <c r="B97" s="52">
        <v>38947514</v>
      </c>
    </row>
    <row r="98" spans="1:2">
      <c r="A98" s="52" t="s">
        <v>244</v>
      </c>
      <c r="B98" s="52">
        <v>33259504</v>
      </c>
    </row>
    <row r="99" spans="1:2">
      <c r="A99" s="52" t="s">
        <v>245</v>
      </c>
      <c r="B99" s="52">
        <v>23479344</v>
      </c>
    </row>
    <row r="100" spans="1:2">
      <c r="A100" s="52" t="s">
        <v>246</v>
      </c>
      <c r="B100" s="52">
        <v>23813051</v>
      </c>
    </row>
    <row r="101" spans="1:2">
      <c r="A101" s="52" t="s">
        <v>247</v>
      </c>
      <c r="B101" s="52">
        <v>18028659</v>
      </c>
    </row>
    <row r="102" spans="1:2">
      <c r="A102" s="52" t="s">
        <v>248</v>
      </c>
      <c r="B102" s="52">
        <v>54548408</v>
      </c>
    </row>
    <row r="103" spans="1:2">
      <c r="A103" s="52" t="s">
        <v>249</v>
      </c>
      <c r="B103" s="52">
        <v>33933759</v>
      </c>
    </row>
    <row r="104" spans="1:2">
      <c r="A104" s="52" t="s">
        <v>250</v>
      </c>
      <c r="B104" s="52">
        <v>12381372</v>
      </c>
    </row>
    <row r="105" spans="1:2">
      <c r="A105" s="52" t="s">
        <v>251</v>
      </c>
      <c r="B105" s="52">
        <v>30502367</v>
      </c>
    </row>
    <row r="106" spans="1:2">
      <c r="A106" s="52" t="s">
        <v>252</v>
      </c>
      <c r="B106" s="52">
        <v>18958375</v>
      </c>
    </row>
    <row r="107" spans="1:2">
      <c r="A107" s="52" t="s">
        <v>253</v>
      </c>
      <c r="B107" s="52">
        <v>11112101</v>
      </c>
    </row>
    <row r="108" spans="1:2">
      <c r="A108" s="52" t="s">
        <v>254</v>
      </c>
      <c r="B108" s="52">
        <v>22463611</v>
      </c>
    </row>
    <row r="109" spans="1:2">
      <c r="A109" s="52" t="s">
        <v>255</v>
      </c>
      <c r="B109" s="52">
        <v>20424123</v>
      </c>
    </row>
    <row r="110" spans="1:2">
      <c r="A110" s="52" t="s">
        <v>256</v>
      </c>
      <c r="B110" s="52">
        <v>15951567</v>
      </c>
    </row>
    <row r="111" spans="1:2">
      <c r="A111" s="52" t="s">
        <v>257</v>
      </c>
      <c r="B111" s="52">
        <v>52066922</v>
      </c>
    </row>
    <row r="112" spans="1:2">
      <c r="A112" s="52" t="s">
        <v>258</v>
      </c>
      <c r="B112" s="52">
        <v>23330989</v>
      </c>
    </row>
    <row r="113" spans="1:2">
      <c r="A113" s="52" t="s">
        <v>259</v>
      </c>
      <c r="B113" s="52">
        <v>44885888</v>
      </c>
    </row>
    <row r="114" spans="1:2">
      <c r="A114" s="52" t="s">
        <v>260</v>
      </c>
      <c r="B114" s="52">
        <v>35092814</v>
      </c>
    </row>
    <row r="115" spans="1:2">
      <c r="A115" s="52" t="s">
        <v>261</v>
      </c>
      <c r="B115" s="52">
        <v>26949283</v>
      </c>
    </row>
    <row r="116" spans="1:2">
      <c r="A116" s="52" t="s">
        <v>262</v>
      </c>
      <c r="B116" s="52">
        <v>21400020</v>
      </c>
    </row>
    <row r="117" spans="1:2">
      <c r="A117" s="52" t="s">
        <v>263</v>
      </c>
      <c r="B117" s="52">
        <v>14578229</v>
      </c>
    </row>
    <row r="118" spans="1:2">
      <c r="A118" s="52" t="s">
        <v>264</v>
      </c>
      <c r="B118" s="52">
        <v>28743262</v>
      </c>
    </row>
    <row r="119" spans="1:2">
      <c r="A119" s="52" t="s">
        <v>265</v>
      </c>
      <c r="B119" s="52">
        <v>44359405</v>
      </c>
    </row>
    <row r="120" spans="1:2">
      <c r="A120" s="52" t="s">
        <v>266</v>
      </c>
      <c r="B120" s="52">
        <v>15177231</v>
      </c>
    </row>
    <row r="121" spans="1:2">
      <c r="A121" s="52" t="s">
        <v>267</v>
      </c>
      <c r="B121" s="52">
        <v>21770870</v>
      </c>
    </row>
    <row r="122" spans="1:2">
      <c r="A122" s="52" t="s">
        <v>268</v>
      </c>
      <c r="B122" s="52">
        <v>21533912</v>
      </c>
    </row>
    <row r="123" spans="1:2">
      <c r="A123" s="52" t="s">
        <v>269</v>
      </c>
      <c r="B123" s="52">
        <v>15760425</v>
      </c>
    </row>
    <row r="124" spans="1:2">
      <c r="A124" s="52" t="s">
        <v>270</v>
      </c>
      <c r="B124" s="52">
        <v>22958503</v>
      </c>
    </row>
    <row r="125" spans="1:2">
      <c r="A125" s="52" t="s">
        <v>271</v>
      </c>
      <c r="B125" s="52">
        <v>18005075</v>
      </c>
    </row>
    <row r="126" spans="1:2">
      <c r="A126" s="52" t="s">
        <v>272</v>
      </c>
      <c r="B126" s="52">
        <v>14271056</v>
      </c>
    </row>
    <row r="127" spans="1:2">
      <c r="A127" s="52" t="s">
        <v>273</v>
      </c>
      <c r="B127" s="52">
        <v>26017270</v>
      </c>
    </row>
    <row r="128" spans="1:2">
      <c r="A128" s="52" t="s">
        <v>274</v>
      </c>
      <c r="B128" s="52">
        <v>25163640</v>
      </c>
    </row>
    <row r="129" spans="1:2">
      <c r="A129" s="52" t="s">
        <v>275</v>
      </c>
      <c r="B129" s="52">
        <v>17199263</v>
      </c>
    </row>
    <row r="130" spans="1:2">
      <c r="A130" s="52" t="s">
        <v>276</v>
      </c>
      <c r="B130" s="52">
        <v>15622050</v>
      </c>
    </row>
    <row r="131" spans="1:2">
      <c r="A131" s="52" t="s">
        <v>277</v>
      </c>
      <c r="B131" s="52">
        <v>15457989</v>
      </c>
    </row>
    <row r="132" spans="1:2">
      <c r="A132" s="52" t="s">
        <v>278</v>
      </c>
      <c r="B132" s="52">
        <v>17107981</v>
      </c>
    </row>
    <row r="133" spans="1:2">
      <c r="A133" s="52" t="s">
        <v>279</v>
      </c>
      <c r="B133" s="52">
        <v>24383468</v>
      </c>
    </row>
    <row r="134" spans="1:2">
      <c r="A134" s="52" t="s">
        <v>280</v>
      </c>
      <c r="B134" s="52">
        <v>26114851</v>
      </c>
    </row>
    <row r="135" spans="1:2">
      <c r="A135" s="52" t="s">
        <v>281</v>
      </c>
      <c r="B135" s="52">
        <v>21106449</v>
      </c>
    </row>
    <row r="136" spans="1:2">
      <c r="A136" s="52" t="s">
        <v>282</v>
      </c>
      <c r="B136" s="52">
        <v>30839757</v>
      </c>
    </row>
    <row r="137" spans="1:2">
      <c r="A137" s="52" t="s">
        <v>283</v>
      </c>
      <c r="B137" s="52">
        <v>20434018</v>
      </c>
    </row>
    <row r="138" spans="1:2">
      <c r="A138" s="52" t="s">
        <v>284</v>
      </c>
      <c r="B138" s="52">
        <v>27323654</v>
      </c>
    </row>
    <row r="139" spans="1:2">
      <c r="A139" s="52" t="s">
        <v>285</v>
      </c>
      <c r="B139" s="52">
        <v>23952562</v>
      </c>
    </row>
    <row r="140" spans="1:2">
      <c r="A140" s="52" t="s">
        <v>286</v>
      </c>
      <c r="B140" s="52">
        <v>36034578</v>
      </c>
    </row>
    <row r="141" spans="1:2">
      <c r="A141" s="52" t="s">
        <v>287</v>
      </c>
      <c r="B141" s="52">
        <v>38233396</v>
      </c>
    </row>
    <row r="142" spans="1:2">
      <c r="A142" s="52" t="s">
        <v>288</v>
      </c>
      <c r="B142" s="52">
        <v>33396821</v>
      </c>
    </row>
    <row r="143" spans="1:2">
      <c r="A143" s="52" t="s">
        <v>289</v>
      </c>
      <c r="B143" s="52">
        <v>49209778</v>
      </c>
    </row>
    <row r="144" spans="1:2">
      <c r="A144" s="52" t="s">
        <v>290</v>
      </c>
      <c r="B144" s="52">
        <v>50266225</v>
      </c>
    </row>
  </sheetData>
  <phoneticPr fontId="1" type="noConversion"/>
  <pageMargins left="0.7" right="0.7" top="0.75" bottom="0.75" header="0.3" footer="0.3"/>
  <ignoredErrors>
    <ignoredError sqref="E47:E55" formulaRange="1"/>
  </ignoredErrors>
  <drawing r:id="rId1"/>
  <legacyDrawing r:id="rId2"/>
  <mc:AlternateContent xmlns:mc="http://schemas.openxmlformats.org/markup-compatibility/2006">
    <mc:Choice Requires="x14">
      <controls>
        <mc:AlternateContent xmlns:mc="http://schemas.openxmlformats.org/markup-compatibility/2006">
          <mc:Choice Requires="x14">
            <control shapeId="7173" r:id="rId3" name="Option Button 5">
              <controlPr defaultSize="0" autoFill="0" autoLine="0" autoPict="0">
                <anchor moveWithCells="1">
                  <from>
                    <xdr:col>10</xdr:col>
                    <xdr:colOff>317500</xdr:colOff>
                    <xdr:row>2</xdr:row>
                    <xdr:rowOff>0</xdr:rowOff>
                  </from>
                  <to>
                    <xdr:col>11</xdr:col>
                    <xdr:colOff>787400</xdr:colOff>
                    <xdr:row>4</xdr:row>
                    <xdr:rowOff>0</xdr:rowOff>
                  </to>
                </anchor>
              </controlPr>
            </control>
          </mc:Choice>
        </mc:AlternateContent>
        <mc:AlternateContent xmlns:mc="http://schemas.openxmlformats.org/markup-compatibility/2006">
          <mc:Choice Requires="x14">
            <control shapeId="7174" r:id="rId4" name="Option Button 6">
              <controlPr defaultSize="0" autoFill="0" autoLine="0" autoPict="0">
                <anchor moveWithCells="1">
                  <from>
                    <xdr:col>11</xdr:col>
                    <xdr:colOff>482600</xdr:colOff>
                    <xdr:row>2</xdr:row>
                    <xdr:rowOff>0</xdr:rowOff>
                  </from>
                  <to>
                    <xdr:col>13</xdr:col>
                    <xdr:colOff>127000</xdr:colOff>
                    <xdr:row>4</xdr:row>
                    <xdr:rowOff>0</xdr:rowOff>
                  </to>
                </anchor>
              </controlPr>
            </control>
          </mc:Choice>
        </mc:AlternateContent>
        <mc:AlternateContent xmlns:mc="http://schemas.openxmlformats.org/markup-compatibility/2006">
          <mc:Choice Requires="x14">
            <control shapeId="7175" r:id="rId5" name="Option Button 7">
              <controlPr defaultSize="0" autoFill="0" autoLine="0" autoPict="0">
                <anchor moveWithCells="1">
                  <from>
                    <xdr:col>12</xdr:col>
                    <xdr:colOff>647700</xdr:colOff>
                    <xdr:row>2</xdr:row>
                    <xdr:rowOff>0</xdr:rowOff>
                  </from>
                  <to>
                    <xdr:col>14</xdr:col>
                    <xdr:colOff>304800</xdr:colOff>
                    <xdr:row>4</xdr:row>
                    <xdr:rowOff>0</xdr:rowOff>
                  </to>
                </anchor>
              </controlPr>
            </control>
          </mc:Choice>
        </mc:AlternateContent>
        <mc:AlternateContent xmlns:mc="http://schemas.openxmlformats.org/markup-compatibility/2006">
          <mc:Choice Requires="x14">
            <control shapeId="7176" r:id="rId6" name="Option Button 8">
              <controlPr defaultSize="0" autoFill="0" autoLine="0" autoPict="0">
                <anchor moveWithCells="1">
                  <from>
                    <xdr:col>13</xdr:col>
                    <xdr:colOff>812800</xdr:colOff>
                    <xdr:row>2</xdr:row>
                    <xdr:rowOff>0</xdr:rowOff>
                  </from>
                  <to>
                    <xdr:col>15</xdr:col>
                    <xdr:colOff>469900</xdr:colOff>
                    <xdr:row>4</xdr:row>
                    <xdr:rowOff>0</xdr:rowOff>
                  </to>
                </anchor>
              </controlPr>
            </control>
          </mc:Choice>
        </mc:AlternateContent>
        <mc:AlternateContent xmlns:mc="http://schemas.openxmlformats.org/markup-compatibility/2006">
          <mc:Choice Requires="x14">
            <control shapeId="7183" r:id="rId7" name="Drop Down 15">
              <controlPr defaultSize="0" autoLine="0" autoPict="0">
                <anchor moveWithCells="1">
                  <from>
                    <xdr:col>6</xdr:col>
                    <xdr:colOff>800100</xdr:colOff>
                    <xdr:row>14</xdr:row>
                    <xdr:rowOff>88900</xdr:rowOff>
                  </from>
                  <to>
                    <xdr:col>9</xdr:col>
                    <xdr:colOff>0</xdr:colOff>
                    <xdr:row>15</xdr:row>
                    <xdr:rowOff>114300</xdr:rowOff>
                  </to>
                </anchor>
              </controlPr>
            </control>
          </mc:Choice>
        </mc:AlternateContent>
        <mc:AlternateContent xmlns:mc="http://schemas.openxmlformats.org/markup-compatibility/2006">
          <mc:Choice Requires="x14">
            <control shapeId="7184" r:id="rId8" name="Check Box 16">
              <controlPr defaultSize="0" autoFill="0" autoLine="0" autoPict="0">
                <anchor moveWithCells="1">
                  <from>
                    <xdr:col>13</xdr:col>
                    <xdr:colOff>457200</xdr:colOff>
                    <xdr:row>29</xdr:row>
                    <xdr:rowOff>127000</xdr:rowOff>
                  </from>
                  <to>
                    <xdr:col>13</xdr:col>
                    <xdr:colOff>749300</xdr:colOff>
                    <xdr:row>30</xdr:row>
                    <xdr:rowOff>177800</xdr:rowOff>
                  </to>
                </anchor>
              </controlPr>
            </control>
          </mc:Choice>
        </mc:AlternateContent>
        <mc:AlternateContent xmlns:mc="http://schemas.openxmlformats.org/markup-compatibility/2006">
          <mc:Choice Requires="x14">
            <control shapeId="7185" r:id="rId9" name="Check Box 17">
              <controlPr defaultSize="0" autoFill="0" autoLine="0" autoPict="0">
                <anchor moveWithCells="1">
                  <from>
                    <xdr:col>13</xdr:col>
                    <xdr:colOff>457200</xdr:colOff>
                    <xdr:row>30</xdr:row>
                    <xdr:rowOff>152400</xdr:rowOff>
                  </from>
                  <to>
                    <xdr:col>13</xdr:col>
                    <xdr:colOff>749300</xdr:colOff>
                    <xdr:row>32</xdr:row>
                    <xdr:rowOff>25400</xdr:rowOff>
                  </to>
                </anchor>
              </controlPr>
            </control>
          </mc:Choice>
        </mc:AlternateContent>
        <mc:AlternateContent xmlns:mc="http://schemas.openxmlformats.org/markup-compatibility/2006">
          <mc:Choice Requires="x14">
            <control shapeId="7186" r:id="rId10" name="Check Box 18">
              <controlPr defaultSize="0" autoFill="0" autoLine="0" autoPict="0">
                <anchor moveWithCells="1">
                  <from>
                    <xdr:col>13</xdr:col>
                    <xdr:colOff>457200</xdr:colOff>
                    <xdr:row>33</xdr:row>
                    <xdr:rowOff>12700</xdr:rowOff>
                  </from>
                  <to>
                    <xdr:col>13</xdr:col>
                    <xdr:colOff>685800</xdr:colOff>
                    <xdr:row>34</xdr:row>
                    <xdr:rowOff>76200</xdr:rowOff>
                  </to>
                </anchor>
              </controlPr>
            </control>
          </mc:Choice>
        </mc:AlternateContent>
        <mc:AlternateContent xmlns:mc="http://schemas.openxmlformats.org/markup-compatibility/2006">
          <mc:Choice Requires="x14">
            <control shapeId="7187" r:id="rId11" name="Check Box 19">
              <controlPr defaultSize="0" autoFill="0" autoLine="0" autoPict="0">
                <anchor moveWithCells="1">
                  <from>
                    <xdr:col>13</xdr:col>
                    <xdr:colOff>457200</xdr:colOff>
                    <xdr:row>31</xdr:row>
                    <xdr:rowOff>177800</xdr:rowOff>
                  </from>
                  <to>
                    <xdr:col>13</xdr:col>
                    <xdr:colOff>736600</xdr:colOff>
                    <xdr:row>33</xdr:row>
                    <xdr:rowOff>50800</xdr:rowOff>
                  </to>
                </anchor>
              </controlPr>
            </control>
          </mc:Choice>
        </mc:AlternateContent>
        <mc:AlternateContent xmlns:mc="http://schemas.openxmlformats.org/markup-compatibility/2006">
          <mc:Choice Requires="x14">
            <control shapeId="7188" r:id="rId12" name="Scroll Bar 20">
              <controlPr defaultSize="0" autoPict="0">
                <anchor moveWithCells="1">
                  <from>
                    <xdr:col>12</xdr:col>
                    <xdr:colOff>698500</xdr:colOff>
                    <xdr:row>44</xdr:row>
                    <xdr:rowOff>76200</xdr:rowOff>
                  </from>
                  <to>
                    <xdr:col>14</xdr:col>
                    <xdr:colOff>673100</xdr:colOff>
                    <xdr:row>45</xdr:row>
                    <xdr:rowOff>63500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A89AB-0A9D-6D42-9F41-9D27ACC095A0}">
  <dimension ref="A1:E37"/>
  <sheetViews>
    <sheetView zoomScale="120" zoomScaleNormal="120" workbookViewId="0">
      <selection activeCell="A20" sqref="A20"/>
    </sheetView>
  </sheetViews>
  <sheetFormatPr baseColWidth="10" defaultRowHeight="15"/>
  <sheetData>
    <row r="1" spans="1:5">
      <c r="A1" s="14" t="s">
        <v>45</v>
      </c>
      <c r="B1" s="14" t="s">
        <v>46</v>
      </c>
      <c r="D1" s="15" t="s">
        <v>312</v>
      </c>
      <c r="E1" s="15" t="s">
        <v>311</v>
      </c>
    </row>
    <row r="2" spans="1:5">
      <c r="A2" s="26" t="s">
        <v>303</v>
      </c>
      <c r="B2" s="21">
        <f ca="1">RANDBETWEEN(0,100)</f>
        <v>0</v>
      </c>
      <c r="D2">
        <v>0</v>
      </c>
      <c r="E2">
        <v>60</v>
      </c>
    </row>
    <row r="3" spans="1:5">
      <c r="A3" s="26" t="s">
        <v>304</v>
      </c>
      <c r="B3" s="21">
        <f t="shared" ref="B3:B11" ca="1" si="0">RANDBETWEEN(0,100)</f>
        <v>36</v>
      </c>
      <c r="D3">
        <v>10</v>
      </c>
      <c r="E3">
        <v>90</v>
      </c>
    </row>
    <row r="4" spans="1:5">
      <c r="A4" s="26" t="s">
        <v>305</v>
      </c>
      <c r="B4" s="21">
        <f t="shared" ca="1" si="0"/>
        <v>82</v>
      </c>
    </row>
    <row r="5" spans="1:5">
      <c r="A5" s="26" t="s">
        <v>306</v>
      </c>
      <c r="B5" s="21">
        <f t="shared" ca="1" si="0"/>
        <v>51</v>
      </c>
    </row>
    <row r="6" spans="1:5">
      <c r="A6" s="26" t="s">
        <v>307</v>
      </c>
      <c r="B6" s="21">
        <f t="shared" ca="1" si="0"/>
        <v>99</v>
      </c>
    </row>
    <row r="7" spans="1:5">
      <c r="A7" s="26" t="s">
        <v>308</v>
      </c>
      <c r="B7" s="21">
        <f t="shared" ca="1" si="0"/>
        <v>92</v>
      </c>
    </row>
    <row r="8" spans="1:5">
      <c r="A8" s="26" t="s">
        <v>309</v>
      </c>
      <c r="B8" s="21">
        <f t="shared" ca="1" si="0"/>
        <v>16</v>
      </c>
    </row>
    <row r="9" spans="1:5">
      <c r="A9" s="26" t="s">
        <v>310</v>
      </c>
      <c r="B9" s="21">
        <f t="shared" ca="1" si="0"/>
        <v>62</v>
      </c>
    </row>
    <row r="10" spans="1:5">
      <c r="A10" s="26" t="s">
        <v>314</v>
      </c>
      <c r="B10" s="21">
        <f t="shared" ca="1" si="0"/>
        <v>96</v>
      </c>
    </row>
    <row r="11" spans="1:5">
      <c r="A11" s="26" t="s">
        <v>313</v>
      </c>
      <c r="B11" s="21">
        <f t="shared" ca="1" si="0"/>
        <v>95</v>
      </c>
    </row>
    <row r="14" spans="1:5">
      <c r="A14" s="44" t="s">
        <v>301</v>
      </c>
    </row>
    <row r="15" spans="1:5">
      <c r="A15" s="44" t="s">
        <v>302</v>
      </c>
    </row>
    <row r="16" spans="1:5">
      <c r="A16" s="44" t="s">
        <v>315</v>
      </c>
    </row>
    <row r="17" spans="1:5">
      <c r="A17" s="44" t="s">
        <v>316</v>
      </c>
    </row>
    <row r="18" spans="1:5">
      <c r="A18" s="44" t="s">
        <v>317</v>
      </c>
    </row>
    <row r="19" spans="1:5">
      <c r="A19" s="44" t="s">
        <v>318</v>
      </c>
    </row>
    <row r="20" spans="1:5">
      <c r="A20" s="44" t="s">
        <v>319</v>
      </c>
    </row>
    <row r="23" spans="1:5">
      <c r="A23" s="32" t="s">
        <v>322</v>
      </c>
      <c r="B23" s="32" t="s">
        <v>120</v>
      </c>
      <c r="C23" s="32" t="s">
        <v>321</v>
      </c>
      <c r="D23" s="53" t="s">
        <v>312</v>
      </c>
      <c r="E23" s="53" t="s">
        <v>311</v>
      </c>
    </row>
    <row r="24" spans="1:5">
      <c r="A24" s="54" t="s">
        <v>324</v>
      </c>
      <c r="B24" s="54">
        <v>2500</v>
      </c>
      <c r="C24" s="55">
        <f t="shared" ref="C24:C29" si="1">B24/SUM($B$24:$B$29)</f>
        <v>0.390625</v>
      </c>
      <c r="D24" s="56">
        <v>0</v>
      </c>
      <c r="E24" s="57">
        <v>0</v>
      </c>
    </row>
    <row r="25" spans="1:5">
      <c r="A25" s="54" t="s">
        <v>325</v>
      </c>
      <c r="B25" s="54">
        <v>1500</v>
      </c>
      <c r="C25" s="55">
        <f t="shared" si="1"/>
        <v>0.234375</v>
      </c>
      <c r="D25" s="56">
        <v>1</v>
      </c>
      <c r="E25" s="57">
        <f>E24+C24</f>
        <v>0.390625</v>
      </c>
    </row>
    <row r="26" spans="1:5">
      <c r="A26" s="54" t="s">
        <v>323</v>
      </c>
      <c r="B26" s="54">
        <v>1200</v>
      </c>
      <c r="C26" s="55">
        <f t="shared" si="1"/>
        <v>0.1875</v>
      </c>
      <c r="D26" s="56">
        <v>2</v>
      </c>
      <c r="E26" s="57">
        <f t="shared" ref="E26:E30" si="2">E25+C25</f>
        <v>0.625</v>
      </c>
    </row>
    <row r="27" spans="1:5">
      <c r="A27" s="54" t="s">
        <v>326</v>
      </c>
      <c r="B27" s="54">
        <v>800</v>
      </c>
      <c r="C27" s="55">
        <f t="shared" si="1"/>
        <v>0.125</v>
      </c>
      <c r="D27" s="56">
        <v>3</v>
      </c>
      <c r="E27" s="57">
        <f t="shared" si="2"/>
        <v>0.8125</v>
      </c>
    </row>
    <row r="28" spans="1:5">
      <c r="A28" s="54" t="s">
        <v>327</v>
      </c>
      <c r="B28" s="54">
        <v>240</v>
      </c>
      <c r="C28" s="55">
        <f t="shared" si="1"/>
        <v>3.7499999999999999E-2</v>
      </c>
      <c r="D28" s="56">
        <v>4</v>
      </c>
      <c r="E28" s="57">
        <f t="shared" si="2"/>
        <v>0.9375</v>
      </c>
    </row>
    <row r="29" spans="1:5">
      <c r="A29" s="54" t="s">
        <v>328</v>
      </c>
      <c r="B29" s="54">
        <v>160</v>
      </c>
      <c r="C29" s="55">
        <f t="shared" si="1"/>
        <v>2.5000000000000001E-2</v>
      </c>
      <c r="D29" s="56">
        <v>5</v>
      </c>
      <c r="E29" s="57">
        <f t="shared" si="2"/>
        <v>0.97499999999999998</v>
      </c>
    </row>
    <row r="30" spans="1:5">
      <c r="A30" s="56"/>
      <c r="B30" s="56"/>
      <c r="C30" s="56"/>
      <c r="D30" s="56">
        <v>6</v>
      </c>
      <c r="E30" s="57">
        <f t="shared" si="2"/>
        <v>1</v>
      </c>
    </row>
    <row r="31" spans="1:5">
      <c r="E31" s="45"/>
    </row>
    <row r="32" spans="1:5">
      <c r="A32" s="44" t="s">
        <v>320</v>
      </c>
    </row>
    <row r="33" spans="1:1">
      <c r="A33" s="44" t="s">
        <v>330</v>
      </c>
    </row>
    <row r="34" spans="1:1">
      <c r="A34" s="44" t="s">
        <v>329</v>
      </c>
    </row>
    <row r="35" spans="1:1">
      <c r="A35" s="44" t="s">
        <v>331</v>
      </c>
    </row>
    <row r="36" spans="1:1">
      <c r="A36" s="44" t="s">
        <v>332</v>
      </c>
    </row>
    <row r="37" spans="1:1">
      <c r="A37" s="44" t="s">
        <v>333</v>
      </c>
    </row>
  </sheetData>
  <sortState xmlns:xlrd2="http://schemas.microsoft.com/office/spreadsheetml/2017/richdata2" ref="A24:E30">
    <sortCondition descending="1" ref="B25:B30"/>
  </sortState>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1BE0E-1D67-534D-A9D0-5C688315AFE4}">
  <dimension ref="A1:F67"/>
  <sheetViews>
    <sheetView zoomScale="120" zoomScaleNormal="120" workbookViewId="0">
      <selection activeCell="F46" sqref="F46"/>
    </sheetView>
  </sheetViews>
  <sheetFormatPr baseColWidth="10" defaultRowHeight="15"/>
  <cols>
    <col min="2" max="2" width="10.83203125" customWidth="1"/>
    <col min="3" max="4" width="11.6640625" customWidth="1"/>
  </cols>
  <sheetData>
    <row r="1" spans="1:2">
      <c r="A1" s="60" t="s">
        <v>335</v>
      </c>
      <c r="B1" s="60" t="s">
        <v>97</v>
      </c>
    </row>
    <row r="2" spans="1:2">
      <c r="A2" s="17" t="s">
        <v>87</v>
      </c>
      <c r="B2" s="17">
        <v>1</v>
      </c>
    </row>
    <row r="3" spans="1:2">
      <c r="A3" s="17" t="s">
        <v>88</v>
      </c>
      <c r="B3" s="17">
        <v>5</v>
      </c>
    </row>
    <row r="4" spans="1:2">
      <c r="A4" s="17" t="s">
        <v>89</v>
      </c>
      <c r="B4" s="17">
        <v>3</v>
      </c>
    </row>
    <row r="5" spans="1:2">
      <c r="A5" s="17" t="s">
        <v>90</v>
      </c>
      <c r="B5" s="17">
        <v>1</v>
      </c>
    </row>
    <row r="6" spans="1:2">
      <c r="A6" s="17" t="s">
        <v>91</v>
      </c>
      <c r="B6" s="17">
        <v>5</v>
      </c>
    </row>
    <row r="7" spans="1:2">
      <c r="A7" s="17" t="s">
        <v>92</v>
      </c>
      <c r="B7" s="17">
        <v>7</v>
      </c>
    </row>
    <row r="8" spans="1:2">
      <c r="A8" s="17" t="s">
        <v>93</v>
      </c>
      <c r="B8" s="17">
        <v>3</v>
      </c>
    </row>
    <row r="9" spans="1:2">
      <c r="A9" s="17" t="s">
        <v>94</v>
      </c>
      <c r="B9" s="17">
        <v>6</v>
      </c>
    </row>
    <row r="10" spans="1:2">
      <c r="A10" s="17" t="s">
        <v>95</v>
      </c>
      <c r="B10" s="17">
        <v>2</v>
      </c>
    </row>
    <row r="11" spans="1:2">
      <c r="A11" s="17" t="s">
        <v>96</v>
      </c>
      <c r="B11" s="17">
        <v>4</v>
      </c>
    </row>
    <row r="13" spans="1:2">
      <c r="A13" s="44" t="s">
        <v>336</v>
      </c>
    </row>
    <row r="14" spans="1:2">
      <c r="A14" s="44" t="s">
        <v>337</v>
      </c>
    </row>
    <row r="15" spans="1:2">
      <c r="A15" s="44" t="s">
        <v>338</v>
      </c>
    </row>
    <row r="16" spans="1:2">
      <c r="A16" s="44" t="s">
        <v>339</v>
      </c>
    </row>
    <row r="17" spans="1:1">
      <c r="A17" s="44"/>
    </row>
    <row r="18" spans="1:1">
      <c r="A18" s="44"/>
    </row>
    <row r="19" spans="1:1">
      <c r="A19" s="44"/>
    </row>
    <row r="20" spans="1:1">
      <c r="A20" s="44"/>
    </row>
    <row r="39" spans="1:6">
      <c r="A39" s="13" t="s">
        <v>356</v>
      </c>
      <c r="B39">
        <v>1000000</v>
      </c>
      <c r="C39" s="13" t="s">
        <v>343</v>
      </c>
      <c r="F39" s="44" t="s">
        <v>345</v>
      </c>
    </row>
    <row r="40" spans="1:6">
      <c r="A40" t="s">
        <v>340</v>
      </c>
      <c r="B40">
        <v>50000</v>
      </c>
      <c r="C40" s="13" t="s">
        <v>344</v>
      </c>
      <c r="F40" s="44" t="s">
        <v>346</v>
      </c>
    </row>
    <row r="41" spans="1:6">
      <c r="A41" s="13" t="s">
        <v>341</v>
      </c>
      <c r="B41">
        <v>52</v>
      </c>
      <c r="C41" s="13" t="s">
        <v>344</v>
      </c>
      <c r="F41" s="44" t="s">
        <v>347</v>
      </c>
    </row>
    <row r="42" spans="1:6">
      <c r="A42" s="13" t="s">
        <v>342</v>
      </c>
      <c r="B42">
        <v>87</v>
      </c>
      <c r="C42" s="13" t="s">
        <v>344</v>
      </c>
    </row>
    <row r="43" spans="1:6">
      <c r="F43" s="44" t="s">
        <v>348</v>
      </c>
    </row>
    <row r="44" spans="1:6">
      <c r="A44" s="58" t="s">
        <v>354</v>
      </c>
      <c r="B44" s="59">
        <f>B39/(B42-B41)</f>
        <v>28571.428571428572</v>
      </c>
      <c r="C44" s="59">
        <f>B44*B42</f>
        <v>2485714.2857142859</v>
      </c>
      <c r="D44" s="59">
        <f>5000000-C44</f>
        <v>2514285.7142857141</v>
      </c>
      <c r="F44" s="44" t="s">
        <v>357</v>
      </c>
    </row>
    <row r="45" spans="1:6">
      <c r="F45" s="44" t="s">
        <v>353</v>
      </c>
    </row>
    <row r="46" spans="1:6">
      <c r="A46" s="60" t="s">
        <v>349</v>
      </c>
      <c r="B46" s="60" t="s">
        <v>350</v>
      </c>
      <c r="C46" s="60" t="s">
        <v>351</v>
      </c>
      <c r="D46" s="60" t="s">
        <v>352</v>
      </c>
      <c r="F46" s="44" t="s">
        <v>355</v>
      </c>
    </row>
    <row r="47" spans="1:6">
      <c r="A47">
        <v>0</v>
      </c>
      <c r="B47">
        <f>A47*$B$41+$B$39</f>
        <v>1000000</v>
      </c>
      <c r="C47">
        <f>A47*$B$42</f>
        <v>0</v>
      </c>
      <c r="D47">
        <f>C47-B47</f>
        <v>-1000000</v>
      </c>
      <c r="F47" s="44" t="s">
        <v>358</v>
      </c>
    </row>
    <row r="48" spans="1:6">
      <c r="A48">
        <f>A47+2500</f>
        <v>2500</v>
      </c>
      <c r="B48">
        <f t="shared" ref="B48:B67" si="0">A48*$B$41+$B$39</f>
        <v>1130000</v>
      </c>
      <c r="C48">
        <f t="shared" ref="C48:C67" si="1">A48*$B$42</f>
        <v>217500</v>
      </c>
      <c r="D48">
        <f t="shared" ref="D48:D67" si="2">C48-B48</f>
        <v>-912500</v>
      </c>
      <c r="F48" s="44" t="s">
        <v>359</v>
      </c>
    </row>
    <row r="49" spans="1:4">
      <c r="A49">
        <f t="shared" ref="A49:A67" si="3">A48+2500</f>
        <v>5000</v>
      </c>
      <c r="B49">
        <f t="shared" si="0"/>
        <v>1260000</v>
      </c>
      <c r="C49">
        <f t="shared" si="1"/>
        <v>435000</v>
      </c>
      <c r="D49">
        <f t="shared" si="2"/>
        <v>-825000</v>
      </c>
    </row>
    <row r="50" spans="1:4">
      <c r="A50">
        <f t="shared" si="3"/>
        <v>7500</v>
      </c>
      <c r="B50">
        <f t="shared" si="0"/>
        <v>1390000</v>
      </c>
      <c r="C50">
        <f t="shared" si="1"/>
        <v>652500</v>
      </c>
      <c r="D50">
        <f t="shared" si="2"/>
        <v>-737500</v>
      </c>
    </row>
    <row r="51" spans="1:4">
      <c r="A51">
        <f t="shared" si="3"/>
        <v>10000</v>
      </c>
      <c r="B51">
        <f t="shared" si="0"/>
        <v>1520000</v>
      </c>
      <c r="C51">
        <f t="shared" si="1"/>
        <v>870000</v>
      </c>
      <c r="D51">
        <f t="shared" si="2"/>
        <v>-650000</v>
      </c>
    </row>
    <row r="52" spans="1:4">
      <c r="A52">
        <f t="shared" si="3"/>
        <v>12500</v>
      </c>
      <c r="B52">
        <f t="shared" si="0"/>
        <v>1650000</v>
      </c>
      <c r="C52">
        <f t="shared" si="1"/>
        <v>1087500</v>
      </c>
      <c r="D52">
        <f t="shared" si="2"/>
        <v>-562500</v>
      </c>
    </row>
    <row r="53" spans="1:4">
      <c r="A53">
        <f t="shared" si="3"/>
        <v>15000</v>
      </c>
      <c r="B53">
        <f t="shared" si="0"/>
        <v>1780000</v>
      </c>
      <c r="C53">
        <f t="shared" si="1"/>
        <v>1305000</v>
      </c>
      <c r="D53">
        <f t="shared" si="2"/>
        <v>-475000</v>
      </c>
    </row>
    <row r="54" spans="1:4">
      <c r="A54">
        <f t="shared" si="3"/>
        <v>17500</v>
      </c>
      <c r="B54">
        <f t="shared" si="0"/>
        <v>1910000</v>
      </c>
      <c r="C54">
        <f t="shared" si="1"/>
        <v>1522500</v>
      </c>
      <c r="D54">
        <f t="shared" si="2"/>
        <v>-387500</v>
      </c>
    </row>
    <row r="55" spans="1:4">
      <c r="A55">
        <f t="shared" si="3"/>
        <v>20000</v>
      </c>
      <c r="B55">
        <f t="shared" si="0"/>
        <v>2040000</v>
      </c>
      <c r="C55">
        <f t="shared" si="1"/>
        <v>1740000</v>
      </c>
      <c r="D55">
        <f t="shared" si="2"/>
        <v>-300000</v>
      </c>
    </row>
    <row r="56" spans="1:4">
      <c r="A56">
        <f t="shared" si="3"/>
        <v>22500</v>
      </c>
      <c r="B56">
        <f t="shared" si="0"/>
        <v>2170000</v>
      </c>
      <c r="C56">
        <f t="shared" si="1"/>
        <v>1957500</v>
      </c>
      <c r="D56">
        <f t="shared" si="2"/>
        <v>-212500</v>
      </c>
    </row>
    <row r="57" spans="1:4">
      <c r="A57">
        <f t="shared" si="3"/>
        <v>25000</v>
      </c>
      <c r="B57">
        <f t="shared" si="0"/>
        <v>2300000</v>
      </c>
      <c r="C57">
        <f t="shared" si="1"/>
        <v>2175000</v>
      </c>
      <c r="D57">
        <f t="shared" si="2"/>
        <v>-125000</v>
      </c>
    </row>
    <row r="58" spans="1:4">
      <c r="A58">
        <f t="shared" si="3"/>
        <v>27500</v>
      </c>
      <c r="B58">
        <f t="shared" si="0"/>
        <v>2430000</v>
      </c>
      <c r="C58">
        <f t="shared" si="1"/>
        <v>2392500</v>
      </c>
      <c r="D58">
        <f t="shared" si="2"/>
        <v>-37500</v>
      </c>
    </row>
    <row r="59" spans="1:4">
      <c r="A59">
        <f t="shared" si="3"/>
        <v>30000</v>
      </c>
      <c r="B59">
        <f t="shared" si="0"/>
        <v>2560000</v>
      </c>
      <c r="C59">
        <f t="shared" si="1"/>
        <v>2610000</v>
      </c>
      <c r="D59">
        <f t="shared" si="2"/>
        <v>50000</v>
      </c>
    </row>
    <row r="60" spans="1:4">
      <c r="A60">
        <f t="shared" si="3"/>
        <v>32500</v>
      </c>
      <c r="B60">
        <f t="shared" si="0"/>
        <v>2690000</v>
      </c>
      <c r="C60">
        <f t="shared" si="1"/>
        <v>2827500</v>
      </c>
      <c r="D60">
        <f t="shared" si="2"/>
        <v>137500</v>
      </c>
    </row>
    <row r="61" spans="1:4">
      <c r="A61">
        <f t="shared" si="3"/>
        <v>35000</v>
      </c>
      <c r="B61">
        <f t="shared" si="0"/>
        <v>2820000</v>
      </c>
      <c r="C61">
        <f t="shared" si="1"/>
        <v>3045000</v>
      </c>
      <c r="D61">
        <f t="shared" si="2"/>
        <v>225000</v>
      </c>
    </row>
    <row r="62" spans="1:4">
      <c r="A62">
        <f t="shared" si="3"/>
        <v>37500</v>
      </c>
      <c r="B62">
        <f t="shared" si="0"/>
        <v>2950000</v>
      </c>
      <c r="C62">
        <f t="shared" si="1"/>
        <v>3262500</v>
      </c>
      <c r="D62">
        <f t="shared" si="2"/>
        <v>312500</v>
      </c>
    </row>
    <row r="63" spans="1:4">
      <c r="A63">
        <f t="shared" si="3"/>
        <v>40000</v>
      </c>
      <c r="B63">
        <f t="shared" si="0"/>
        <v>3080000</v>
      </c>
      <c r="C63">
        <f t="shared" si="1"/>
        <v>3480000</v>
      </c>
      <c r="D63">
        <f t="shared" si="2"/>
        <v>400000</v>
      </c>
    </row>
    <row r="64" spans="1:4">
      <c r="A64">
        <f t="shared" si="3"/>
        <v>42500</v>
      </c>
      <c r="B64">
        <f t="shared" si="0"/>
        <v>3210000</v>
      </c>
      <c r="C64">
        <f t="shared" si="1"/>
        <v>3697500</v>
      </c>
      <c r="D64">
        <f t="shared" si="2"/>
        <v>487500</v>
      </c>
    </row>
    <row r="65" spans="1:4">
      <c r="A65">
        <f t="shared" si="3"/>
        <v>45000</v>
      </c>
      <c r="B65">
        <f t="shared" si="0"/>
        <v>3340000</v>
      </c>
      <c r="C65">
        <f t="shared" si="1"/>
        <v>3915000</v>
      </c>
      <c r="D65">
        <f t="shared" si="2"/>
        <v>575000</v>
      </c>
    </row>
    <row r="66" spans="1:4">
      <c r="A66">
        <f t="shared" si="3"/>
        <v>47500</v>
      </c>
      <c r="B66">
        <f t="shared" si="0"/>
        <v>3470000</v>
      </c>
      <c r="C66">
        <f t="shared" si="1"/>
        <v>4132500</v>
      </c>
      <c r="D66">
        <f t="shared" si="2"/>
        <v>662500</v>
      </c>
    </row>
    <row r="67" spans="1:4">
      <c r="A67">
        <f t="shared" si="3"/>
        <v>50000</v>
      </c>
      <c r="B67">
        <f t="shared" si="0"/>
        <v>3600000</v>
      </c>
      <c r="C67">
        <f t="shared" si="1"/>
        <v>4350000</v>
      </c>
      <c r="D67">
        <f t="shared" si="2"/>
        <v>750000</v>
      </c>
    </row>
  </sheetData>
  <phoneticPr fontId="1"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2289" r:id="rId3" name="Scroll Bar 1">
              <controlPr defaultSize="0" autoPict="0">
                <anchor moveWithCells="1">
                  <from>
                    <xdr:col>10</xdr:col>
                    <xdr:colOff>12700</xdr:colOff>
                    <xdr:row>39</xdr:row>
                    <xdr:rowOff>12700</xdr:rowOff>
                  </from>
                  <to>
                    <xdr:col>11</xdr:col>
                    <xdr:colOff>825500</xdr:colOff>
                    <xdr:row>40</xdr:row>
                    <xdr:rowOff>25400</xdr:rowOff>
                  </to>
                </anchor>
              </controlPr>
            </control>
          </mc:Choice>
        </mc:AlternateContent>
        <mc:AlternateContent xmlns:mc="http://schemas.openxmlformats.org/markup-compatibility/2006">
          <mc:Choice Requires="x14">
            <control shapeId="12290" r:id="rId4" name="Scroll Bar 2">
              <controlPr defaultSize="0" autoPict="0">
                <anchor moveWithCells="1">
                  <from>
                    <xdr:col>10</xdr:col>
                    <xdr:colOff>12700</xdr:colOff>
                    <xdr:row>41</xdr:row>
                    <xdr:rowOff>12700</xdr:rowOff>
                  </from>
                  <to>
                    <xdr:col>11</xdr:col>
                    <xdr:colOff>825500</xdr:colOff>
                    <xdr:row>42</xdr:row>
                    <xdr:rowOff>25400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4B2FA-C60E-4A41-9F12-AED7A9FF7426}">
  <dimension ref="A1:C59"/>
  <sheetViews>
    <sheetView zoomScale="120" zoomScaleNormal="120" workbookViewId="0">
      <selection activeCell="C51" sqref="C51"/>
    </sheetView>
  </sheetViews>
  <sheetFormatPr baseColWidth="10" defaultRowHeight="15"/>
  <sheetData>
    <row r="1" spans="1:3">
      <c r="A1" s="60" t="s">
        <v>362</v>
      </c>
      <c r="B1" s="60" t="s">
        <v>360</v>
      </c>
    </row>
    <row r="2" spans="1:3">
      <c r="A2" s="43" t="s">
        <v>361</v>
      </c>
      <c r="B2" s="43">
        <v>1074700.5043819037</v>
      </c>
      <c r="C2">
        <v>0.5</v>
      </c>
    </row>
    <row r="3" spans="1:3">
      <c r="A3" s="43" t="s">
        <v>33</v>
      </c>
      <c r="B3" s="43">
        <v>2471461.0518247653</v>
      </c>
      <c r="C3">
        <v>1.5</v>
      </c>
    </row>
    <row r="4" spans="1:3">
      <c r="A4" s="43" t="s">
        <v>34</v>
      </c>
      <c r="B4" s="43">
        <v>1013848.8790686589</v>
      </c>
      <c r="C4">
        <v>2.5</v>
      </c>
    </row>
    <row r="5" spans="1:3">
      <c r="A5" s="43" t="s">
        <v>35</v>
      </c>
      <c r="B5" s="43">
        <v>2836458.3911607056</v>
      </c>
      <c r="C5">
        <v>3.5</v>
      </c>
    </row>
    <row r="6" spans="1:3">
      <c r="A6" s="43" t="s">
        <v>36</v>
      </c>
      <c r="B6" s="43">
        <v>2356724.565061931</v>
      </c>
      <c r="C6">
        <v>4.5</v>
      </c>
    </row>
    <row r="7" spans="1:3">
      <c r="A7" s="43" t="s">
        <v>37</v>
      </c>
      <c r="B7" s="43">
        <v>1747388.0239122179</v>
      </c>
      <c r="C7">
        <v>5.5</v>
      </c>
    </row>
    <row r="9" spans="1:3">
      <c r="A9" s="44" t="s">
        <v>363</v>
      </c>
    </row>
    <row r="10" spans="1:3">
      <c r="A10" s="44" t="s">
        <v>364</v>
      </c>
    </row>
    <row r="11" spans="1:3">
      <c r="A11" s="44" t="s">
        <v>365</v>
      </c>
    </row>
    <row r="12" spans="1:3">
      <c r="A12" s="44" t="s">
        <v>366</v>
      </c>
    </row>
    <row r="13" spans="1:3">
      <c r="A13" s="44"/>
    </row>
    <row r="22" spans="1:3">
      <c r="A22" s="60" t="s">
        <v>362</v>
      </c>
      <c r="B22" s="60" t="s">
        <v>368</v>
      </c>
      <c r="C22" s="60" t="s">
        <v>371</v>
      </c>
    </row>
    <row r="23" spans="1:3">
      <c r="A23" s="43" t="s">
        <v>32</v>
      </c>
      <c r="B23" s="43">
        <v>107</v>
      </c>
      <c r="C23" s="43">
        <f>B24-B23</f>
        <v>140</v>
      </c>
    </row>
    <row r="24" spans="1:3">
      <c r="A24" s="43" t="s">
        <v>33</v>
      </c>
      <c r="B24" s="43">
        <v>247</v>
      </c>
      <c r="C24" s="43">
        <f t="shared" ref="C24:C34" si="0">B25-B24</f>
        <v>-146</v>
      </c>
    </row>
    <row r="25" spans="1:3">
      <c r="A25" s="43" t="s">
        <v>34</v>
      </c>
      <c r="B25" s="43">
        <v>101</v>
      </c>
      <c r="C25" s="43">
        <f t="shared" si="0"/>
        <v>182</v>
      </c>
    </row>
    <row r="26" spans="1:3">
      <c r="A26" s="43" t="s">
        <v>35</v>
      </c>
      <c r="B26" s="43">
        <v>283</v>
      </c>
      <c r="C26" s="43">
        <f t="shared" si="0"/>
        <v>-48</v>
      </c>
    </row>
    <row r="27" spans="1:3">
      <c r="A27" s="43" t="s">
        <v>36</v>
      </c>
      <c r="B27" s="43">
        <v>235</v>
      </c>
      <c r="C27" s="43">
        <f t="shared" si="0"/>
        <v>-61</v>
      </c>
    </row>
    <row r="28" spans="1:3">
      <c r="A28" s="43" t="s">
        <v>37</v>
      </c>
      <c r="B28" s="43">
        <v>174</v>
      </c>
      <c r="C28" s="43">
        <f t="shared" si="0"/>
        <v>67</v>
      </c>
    </row>
    <row r="29" spans="1:3">
      <c r="A29" s="43" t="s">
        <v>38</v>
      </c>
      <c r="B29" s="43">
        <v>241</v>
      </c>
      <c r="C29" s="43">
        <f t="shared" si="0"/>
        <v>-83</v>
      </c>
    </row>
    <row r="30" spans="1:3">
      <c r="A30" s="43" t="s">
        <v>39</v>
      </c>
      <c r="B30" s="43">
        <v>158</v>
      </c>
      <c r="C30" s="43">
        <f t="shared" si="0"/>
        <v>105</v>
      </c>
    </row>
    <row r="31" spans="1:3">
      <c r="A31" s="43" t="s">
        <v>50</v>
      </c>
      <c r="B31" s="43">
        <v>263</v>
      </c>
      <c r="C31" s="43">
        <f t="shared" si="0"/>
        <v>-23</v>
      </c>
    </row>
    <row r="32" spans="1:3">
      <c r="A32" s="43" t="s">
        <v>51</v>
      </c>
      <c r="B32" s="43">
        <v>240</v>
      </c>
      <c r="C32" s="43">
        <f t="shared" si="0"/>
        <v>225</v>
      </c>
    </row>
    <row r="33" spans="1:3">
      <c r="A33" s="43" t="s">
        <v>52</v>
      </c>
      <c r="B33" s="43">
        <v>465</v>
      </c>
      <c r="C33" s="43">
        <f t="shared" si="0"/>
        <v>-95</v>
      </c>
    </row>
    <row r="34" spans="1:3">
      <c r="A34" s="43" t="s">
        <v>53</v>
      </c>
      <c r="B34" s="43">
        <v>370</v>
      </c>
      <c r="C34" s="43">
        <f t="shared" si="0"/>
        <v>-370</v>
      </c>
    </row>
    <row r="36" spans="1:3">
      <c r="A36" s="44" t="s">
        <v>367</v>
      </c>
    </row>
    <row r="37" spans="1:3">
      <c r="A37" s="44" t="s">
        <v>369</v>
      </c>
    </row>
    <row r="38" spans="1:3">
      <c r="A38" s="44" t="s">
        <v>370</v>
      </c>
    </row>
    <row r="39" spans="1:3">
      <c r="A39" s="44" t="s">
        <v>372</v>
      </c>
    </row>
    <row r="40" spans="1:3">
      <c r="A40" s="44" t="s">
        <v>373</v>
      </c>
    </row>
    <row r="41" spans="1:3">
      <c r="A41" s="44" t="s">
        <v>374</v>
      </c>
    </row>
    <row r="42" spans="1:3">
      <c r="A42" s="44" t="s">
        <v>379</v>
      </c>
    </row>
    <row r="44" spans="1:3">
      <c r="A44" s="44" t="s">
        <v>375</v>
      </c>
    </row>
    <row r="45" spans="1:3">
      <c r="A45" s="44" t="s">
        <v>376</v>
      </c>
    </row>
    <row r="47" spans="1:3">
      <c r="A47" s="61" t="s">
        <v>377</v>
      </c>
      <c r="B47" s="62" t="s">
        <v>378</v>
      </c>
      <c r="C47" s="62" t="s">
        <v>380</v>
      </c>
    </row>
    <row r="48" spans="1:3">
      <c r="A48" s="43">
        <f>IF(C23&gt;0,C23,0)</f>
        <v>140</v>
      </c>
      <c r="B48" s="43">
        <f>IF(C23&lt;0,C23,0)</f>
        <v>0</v>
      </c>
      <c r="C48" s="43">
        <f>B23+C23/2</f>
        <v>177</v>
      </c>
    </row>
    <row r="49" spans="1:3">
      <c r="A49" s="43">
        <f t="shared" ref="A49:A59" si="1">IF(C24&gt;0,C24,0)</f>
        <v>0</v>
      </c>
      <c r="B49" s="43">
        <f t="shared" ref="B49:B59" si="2">IF(C24&lt;0,C24,0)</f>
        <v>-146</v>
      </c>
      <c r="C49" s="43">
        <f t="shared" ref="C49:C59" si="3">B24+C24/2</f>
        <v>174</v>
      </c>
    </row>
    <row r="50" spans="1:3">
      <c r="A50" s="43">
        <f t="shared" si="1"/>
        <v>182</v>
      </c>
      <c r="B50" s="43">
        <f t="shared" si="2"/>
        <v>0</v>
      </c>
      <c r="C50" s="43">
        <f t="shared" si="3"/>
        <v>192</v>
      </c>
    </row>
    <row r="51" spans="1:3">
      <c r="A51" s="43">
        <f t="shared" si="1"/>
        <v>0</v>
      </c>
      <c r="B51" s="43">
        <f t="shared" si="2"/>
        <v>-48</v>
      </c>
      <c r="C51" s="43">
        <f t="shared" si="3"/>
        <v>259</v>
      </c>
    </row>
    <row r="52" spans="1:3">
      <c r="A52" s="43">
        <f t="shared" si="1"/>
        <v>0</v>
      </c>
      <c r="B52" s="43">
        <f t="shared" si="2"/>
        <v>-61</v>
      </c>
      <c r="C52" s="43">
        <f t="shared" si="3"/>
        <v>204.5</v>
      </c>
    </row>
    <row r="53" spans="1:3">
      <c r="A53" s="43">
        <f t="shared" si="1"/>
        <v>67</v>
      </c>
      <c r="B53" s="43">
        <f t="shared" si="2"/>
        <v>0</v>
      </c>
      <c r="C53" s="43">
        <f t="shared" si="3"/>
        <v>207.5</v>
      </c>
    </row>
    <row r="54" spans="1:3">
      <c r="A54" s="43">
        <f t="shared" si="1"/>
        <v>0</v>
      </c>
      <c r="B54" s="43">
        <f t="shared" si="2"/>
        <v>-83</v>
      </c>
      <c r="C54" s="43">
        <f t="shared" si="3"/>
        <v>199.5</v>
      </c>
    </row>
    <row r="55" spans="1:3">
      <c r="A55" s="43">
        <f t="shared" si="1"/>
        <v>105</v>
      </c>
      <c r="B55" s="43">
        <f t="shared" si="2"/>
        <v>0</v>
      </c>
      <c r="C55" s="43">
        <f t="shared" si="3"/>
        <v>210.5</v>
      </c>
    </row>
    <row r="56" spans="1:3">
      <c r="A56" s="43">
        <f t="shared" si="1"/>
        <v>0</v>
      </c>
      <c r="B56" s="43">
        <f t="shared" si="2"/>
        <v>-23</v>
      </c>
      <c r="C56" s="43">
        <f t="shared" si="3"/>
        <v>251.5</v>
      </c>
    </row>
    <row r="57" spans="1:3">
      <c r="A57" s="43">
        <f t="shared" si="1"/>
        <v>225</v>
      </c>
      <c r="B57" s="43">
        <f t="shared" si="2"/>
        <v>0</v>
      </c>
      <c r="C57" s="43">
        <f t="shared" si="3"/>
        <v>352.5</v>
      </c>
    </row>
    <row r="58" spans="1:3">
      <c r="A58" s="43">
        <f t="shared" si="1"/>
        <v>0</v>
      </c>
      <c r="B58" s="43">
        <f t="shared" si="2"/>
        <v>-95</v>
      </c>
      <c r="C58" s="43">
        <f t="shared" si="3"/>
        <v>417.5</v>
      </c>
    </row>
    <row r="59" spans="1:3">
      <c r="A59" s="43">
        <f t="shared" si="1"/>
        <v>0</v>
      </c>
      <c r="B59" s="43">
        <f t="shared" si="2"/>
        <v>-370</v>
      </c>
      <c r="C59" s="43">
        <f t="shared" si="3"/>
        <v>185</v>
      </c>
    </row>
  </sheetData>
  <phoneticPr fontId="1"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CDE60-6B39-8940-92F0-366E993739D7}">
  <dimension ref="A1:G110"/>
  <sheetViews>
    <sheetView zoomScale="120" zoomScaleNormal="120" workbookViewId="0">
      <selection activeCell="F92" sqref="F92"/>
    </sheetView>
  </sheetViews>
  <sheetFormatPr baseColWidth="10" defaultRowHeight="15"/>
  <cols>
    <col min="3" max="3" width="12" bestFit="1" customWidth="1"/>
    <col min="4" max="4" width="11" bestFit="1" customWidth="1"/>
  </cols>
  <sheetData>
    <row r="1" spans="1:4">
      <c r="A1" s="13" t="s">
        <v>388</v>
      </c>
    </row>
    <row r="4" spans="1:4">
      <c r="B4" s="63" t="s">
        <v>381</v>
      </c>
      <c r="C4" s="63" t="s">
        <v>382</v>
      </c>
      <c r="D4" s="63" t="s">
        <v>386</v>
      </c>
    </row>
    <row r="5" spans="1:4">
      <c r="B5" t="s">
        <v>383</v>
      </c>
      <c r="C5" s="28">
        <v>0.45</v>
      </c>
      <c r="D5" s="28">
        <f>1-C5</f>
        <v>0.55000000000000004</v>
      </c>
    </row>
    <row r="6" spans="1:4">
      <c r="B6" t="s">
        <v>75</v>
      </c>
      <c r="C6" s="28">
        <v>0.56000000000000005</v>
      </c>
      <c r="D6" s="28">
        <f t="shared" ref="D6:D8" si="0">1-C6</f>
        <v>0.43999999999999995</v>
      </c>
    </row>
    <row r="7" spans="1:4">
      <c r="B7" t="s">
        <v>384</v>
      </c>
      <c r="C7" s="28">
        <v>0.63</v>
      </c>
      <c r="D7" s="28">
        <f t="shared" si="0"/>
        <v>0.37</v>
      </c>
    </row>
    <row r="8" spans="1:4">
      <c r="B8" t="s">
        <v>385</v>
      </c>
      <c r="C8" s="28">
        <v>0.75</v>
      </c>
      <c r="D8" s="28">
        <f t="shared" si="0"/>
        <v>0.25</v>
      </c>
    </row>
    <row r="21" spans="2:6">
      <c r="B21" s="63" t="s">
        <v>45</v>
      </c>
      <c r="C21" s="63" t="s">
        <v>387</v>
      </c>
      <c r="D21" s="63" t="s">
        <v>177</v>
      </c>
      <c r="E21" s="63" t="s">
        <v>178</v>
      </c>
      <c r="F21" s="63" t="s">
        <v>179</v>
      </c>
    </row>
    <row r="22" spans="2:6">
      <c r="B22" t="s">
        <v>32</v>
      </c>
      <c r="C22">
        <v>382003.9</v>
      </c>
      <c r="D22">
        <v>364203.6</v>
      </c>
      <c r="E22">
        <v>82190.399999999994</v>
      </c>
      <c r="F22">
        <v>57118.2</v>
      </c>
    </row>
    <row r="23" spans="2:6">
      <c r="B23" t="s">
        <v>33</v>
      </c>
      <c r="C23">
        <v>222520.2</v>
      </c>
      <c r="D23">
        <v>181175.7</v>
      </c>
      <c r="E23">
        <v>77177.7</v>
      </c>
      <c r="F23">
        <v>282039.7</v>
      </c>
    </row>
    <row r="24" spans="2:6">
      <c r="B24" t="s">
        <v>34</v>
      </c>
      <c r="C24">
        <v>507398.7</v>
      </c>
      <c r="D24">
        <v>867964.1</v>
      </c>
      <c r="E24">
        <v>274581.59999999998</v>
      </c>
      <c r="F24">
        <v>267860.3</v>
      </c>
    </row>
    <row r="25" spans="2:6">
      <c r="B25" t="s">
        <v>35</v>
      </c>
      <c r="C25">
        <v>582530.5</v>
      </c>
      <c r="D25">
        <v>1153034.7</v>
      </c>
      <c r="E25">
        <v>216350.3</v>
      </c>
      <c r="F25">
        <v>152184.79999999999</v>
      </c>
    </row>
    <row r="26" spans="2:6">
      <c r="B26" t="s">
        <v>36</v>
      </c>
      <c r="C26">
        <v>401726.4</v>
      </c>
      <c r="D26">
        <v>381435.7</v>
      </c>
      <c r="E26">
        <v>347903.1</v>
      </c>
      <c r="F26">
        <v>392195.9</v>
      </c>
    </row>
    <row r="27" spans="2:6">
      <c r="B27" t="s">
        <v>37</v>
      </c>
      <c r="C27">
        <v>334359.90000000002</v>
      </c>
      <c r="D27">
        <v>309793.2</v>
      </c>
      <c r="E27">
        <v>406920.5</v>
      </c>
      <c r="F27">
        <v>257433.1</v>
      </c>
    </row>
    <row r="28" spans="2:6">
      <c r="B28" t="s">
        <v>38</v>
      </c>
      <c r="C28">
        <v>510119</v>
      </c>
      <c r="D28">
        <v>580041.4</v>
      </c>
      <c r="E28">
        <v>347489.7</v>
      </c>
      <c r="F28">
        <v>234713</v>
      </c>
    </row>
    <row r="29" spans="2:6">
      <c r="B29" t="s">
        <v>39</v>
      </c>
      <c r="C29">
        <v>220130.1</v>
      </c>
      <c r="D29">
        <v>150590</v>
      </c>
      <c r="E29">
        <v>462951.1</v>
      </c>
      <c r="F29">
        <v>193999.3</v>
      </c>
    </row>
    <row r="30" spans="2:6">
      <c r="B30" t="s">
        <v>50</v>
      </c>
      <c r="C30">
        <v>373503.2</v>
      </c>
      <c r="D30">
        <v>408638.3</v>
      </c>
      <c r="E30">
        <v>415767.6</v>
      </c>
      <c r="F30">
        <v>336451.8</v>
      </c>
    </row>
    <row r="31" spans="2:6">
      <c r="B31" t="s">
        <v>51</v>
      </c>
      <c r="C31">
        <v>439424.1</v>
      </c>
      <c r="D31">
        <v>305883.09999999998</v>
      </c>
      <c r="E31">
        <v>307138.8</v>
      </c>
      <c r="F31">
        <v>278499.7</v>
      </c>
    </row>
    <row r="32" spans="2:6">
      <c r="B32" t="s">
        <v>52</v>
      </c>
      <c r="C32">
        <v>428661.6</v>
      </c>
      <c r="D32">
        <v>194589.1</v>
      </c>
      <c r="E32">
        <v>560053.1</v>
      </c>
      <c r="F32">
        <v>786852.4</v>
      </c>
    </row>
    <row r="33" spans="2:6">
      <c r="B33" t="s">
        <v>53</v>
      </c>
      <c r="C33">
        <v>692964.7</v>
      </c>
      <c r="D33">
        <v>111893</v>
      </c>
      <c r="E33">
        <v>513013.9</v>
      </c>
      <c r="F33">
        <v>1019700.9</v>
      </c>
    </row>
    <row r="39" spans="2:6">
      <c r="B39" s="63" t="s">
        <v>98</v>
      </c>
      <c r="C39" s="63" t="s">
        <v>99</v>
      </c>
      <c r="D39" s="63" t="s">
        <v>100</v>
      </c>
    </row>
    <row r="40" spans="2:6">
      <c r="B40" s="64" t="s">
        <v>27</v>
      </c>
      <c r="C40" s="65">
        <v>1449</v>
      </c>
      <c r="D40" s="66">
        <v>0.17599999999999999</v>
      </c>
    </row>
    <row r="41" spans="2:6">
      <c r="B41" s="67" t="s">
        <v>28</v>
      </c>
      <c r="C41" s="65">
        <v>860</v>
      </c>
      <c r="D41" s="66">
        <v>0.27900000000000003</v>
      </c>
    </row>
    <row r="42" spans="2:6">
      <c r="B42" s="68" t="s">
        <v>389</v>
      </c>
      <c r="C42" s="65">
        <v>1165</v>
      </c>
      <c r="D42" s="66">
        <v>0.114</v>
      </c>
    </row>
    <row r="43" spans="2:6">
      <c r="B43" s="69" t="s">
        <v>390</v>
      </c>
      <c r="C43" s="65">
        <v>719</v>
      </c>
      <c r="D43" s="66">
        <v>0.09</v>
      </c>
    </row>
    <row r="44" spans="2:6">
      <c r="B44" s="70" t="s">
        <v>391</v>
      </c>
      <c r="C44" s="65">
        <v>1430</v>
      </c>
      <c r="D44" s="66">
        <v>5.2999999999999999E-2</v>
      </c>
    </row>
    <row r="45" spans="2:6">
      <c r="B45" s="71" t="s">
        <v>392</v>
      </c>
      <c r="C45" s="65">
        <v>1350</v>
      </c>
      <c r="D45" s="66">
        <v>0.253</v>
      </c>
    </row>
    <row r="46" spans="2:6">
      <c r="B46" s="70" t="s">
        <v>393</v>
      </c>
      <c r="C46" s="65">
        <v>750</v>
      </c>
      <c r="D46" s="66">
        <v>6.3E-2</v>
      </c>
    </row>
    <row r="47" spans="2:6">
      <c r="B47" s="70" t="s">
        <v>394</v>
      </c>
      <c r="C47" s="65">
        <v>1700</v>
      </c>
      <c r="D47" s="66">
        <v>0.13200000000000001</v>
      </c>
    </row>
    <row r="62" spans="2:7">
      <c r="B62" s="63" t="s">
        <v>395</v>
      </c>
      <c r="C62" s="63" t="s">
        <v>398</v>
      </c>
      <c r="D62" s="63" t="s">
        <v>401</v>
      </c>
      <c r="E62" s="63" t="s">
        <v>402</v>
      </c>
      <c r="F62" s="63" t="s">
        <v>399</v>
      </c>
      <c r="G62" s="63" t="s">
        <v>400</v>
      </c>
    </row>
    <row r="63" spans="2:7">
      <c r="B63" t="s">
        <v>396</v>
      </c>
      <c r="C63">
        <v>90</v>
      </c>
      <c r="D63">
        <v>90</v>
      </c>
      <c r="E63">
        <v>90</v>
      </c>
      <c r="F63">
        <v>12</v>
      </c>
      <c r="G63">
        <v>6</v>
      </c>
    </row>
    <row r="64" spans="2:7">
      <c r="B64" t="s">
        <v>397</v>
      </c>
      <c r="C64">
        <v>50</v>
      </c>
      <c r="D64">
        <v>80</v>
      </c>
      <c r="E64">
        <v>85</v>
      </c>
      <c r="F64">
        <v>11</v>
      </c>
      <c r="G64">
        <v>4</v>
      </c>
    </row>
    <row r="82" spans="2:4">
      <c r="B82" s="63" t="s">
        <v>403</v>
      </c>
      <c r="C82" s="63" t="s">
        <v>404</v>
      </c>
      <c r="D82" s="63" t="s">
        <v>405</v>
      </c>
    </row>
    <row r="83" spans="2:4">
      <c r="B83" t="s">
        <v>406</v>
      </c>
      <c r="C83" t="s">
        <v>407</v>
      </c>
      <c r="D83">
        <v>614801.94882283837</v>
      </c>
    </row>
    <row r="84" spans="2:4">
      <c r="B84" t="s">
        <v>406</v>
      </c>
      <c r="C84" t="s">
        <v>408</v>
      </c>
      <c r="D84">
        <v>1650501.8442914994</v>
      </c>
    </row>
    <row r="85" spans="2:4">
      <c r="B85" t="s">
        <v>406</v>
      </c>
      <c r="C85" t="s">
        <v>409</v>
      </c>
      <c r="D85">
        <v>172277.03867039998</v>
      </c>
    </row>
    <row r="86" spans="2:4">
      <c r="B86" t="s">
        <v>406</v>
      </c>
      <c r="C86" t="s">
        <v>410</v>
      </c>
      <c r="D86">
        <v>648825.10945230001</v>
      </c>
    </row>
    <row r="87" spans="2:4">
      <c r="B87" t="s">
        <v>406</v>
      </c>
      <c r="C87" t="s">
        <v>411</v>
      </c>
      <c r="D87">
        <v>671654.14847497037</v>
      </c>
    </row>
    <row r="88" spans="2:4">
      <c r="B88" t="s">
        <v>406</v>
      </c>
      <c r="C88" t="s">
        <v>412</v>
      </c>
      <c r="D88">
        <v>3155000.6374635003</v>
      </c>
    </row>
    <row r="89" spans="2:4">
      <c r="B89" t="s">
        <v>413</v>
      </c>
      <c r="C89" t="s">
        <v>407</v>
      </c>
      <c r="D89">
        <v>599768.20890299999</v>
      </c>
    </row>
    <row r="90" spans="2:4">
      <c r="B90" t="s">
        <v>413</v>
      </c>
      <c r="C90" t="s">
        <v>408</v>
      </c>
      <c r="D90">
        <v>581207.63569035009</v>
      </c>
    </row>
    <row r="91" spans="2:4">
      <c r="B91" t="s">
        <v>413</v>
      </c>
      <c r="C91" t="s">
        <v>410</v>
      </c>
      <c r="D91">
        <v>451381.27613435901</v>
      </c>
    </row>
    <row r="92" spans="2:4">
      <c r="B92" t="s">
        <v>413</v>
      </c>
      <c r="C92" t="s">
        <v>411</v>
      </c>
      <c r="D92">
        <v>271660.2594827154</v>
      </c>
    </row>
    <row r="93" spans="2:4">
      <c r="B93" t="s">
        <v>413</v>
      </c>
      <c r="C93" t="s">
        <v>412</v>
      </c>
      <c r="D93">
        <v>1729366.5949160736</v>
      </c>
    </row>
    <row r="94" spans="2:4">
      <c r="B94" t="s">
        <v>414</v>
      </c>
      <c r="C94" t="s">
        <v>407</v>
      </c>
      <c r="D94">
        <v>495354.56728800002</v>
      </c>
    </row>
    <row r="95" spans="2:4">
      <c r="B95" t="s">
        <v>414</v>
      </c>
      <c r="C95" t="s">
        <v>408</v>
      </c>
      <c r="D95">
        <v>410883.04519096791</v>
      </c>
    </row>
    <row r="96" spans="2:4">
      <c r="B96" t="s">
        <v>414</v>
      </c>
      <c r="C96" t="s">
        <v>410</v>
      </c>
      <c r="D96">
        <v>437934.81453450001</v>
      </c>
    </row>
    <row r="97" spans="2:4">
      <c r="B97" t="s">
        <v>414</v>
      </c>
      <c r="C97" t="s">
        <v>411</v>
      </c>
      <c r="D97">
        <v>648297.71766299987</v>
      </c>
    </row>
    <row r="98" spans="2:4">
      <c r="B98" t="s">
        <v>414</v>
      </c>
      <c r="C98" t="s">
        <v>412</v>
      </c>
      <c r="D98">
        <v>1222752.9887609077</v>
      </c>
    </row>
    <row r="99" spans="2:4">
      <c r="B99" t="s">
        <v>415</v>
      </c>
      <c r="C99" t="s">
        <v>407</v>
      </c>
      <c r="D99">
        <v>1601632.8757250998</v>
      </c>
    </row>
    <row r="100" spans="2:4">
      <c r="B100" t="s">
        <v>415</v>
      </c>
      <c r="C100" t="s">
        <v>408</v>
      </c>
      <c r="D100">
        <v>1167264.36866325</v>
      </c>
    </row>
    <row r="101" spans="2:4">
      <c r="B101" t="s">
        <v>415</v>
      </c>
      <c r="C101" t="s">
        <v>409</v>
      </c>
      <c r="D101">
        <v>286323.51603149995</v>
      </c>
    </row>
    <row r="102" spans="2:4">
      <c r="B102" t="s">
        <v>415</v>
      </c>
      <c r="C102" t="s">
        <v>410</v>
      </c>
      <c r="D102">
        <v>662805.58728869993</v>
      </c>
    </row>
    <row r="103" spans="2:4">
      <c r="B103" t="s">
        <v>415</v>
      </c>
      <c r="C103" t="s">
        <v>411</v>
      </c>
      <c r="D103">
        <v>354213.35120938712</v>
      </c>
    </row>
    <row r="104" spans="2:4">
      <c r="B104" t="s">
        <v>415</v>
      </c>
      <c r="C104" t="s">
        <v>412</v>
      </c>
      <c r="D104">
        <v>2381540.8365435875</v>
      </c>
    </row>
    <row r="105" spans="2:4">
      <c r="B105" t="s">
        <v>416</v>
      </c>
      <c r="C105" t="s">
        <v>407</v>
      </c>
      <c r="D105">
        <v>1783784.5905194357</v>
      </c>
    </row>
    <row r="106" spans="2:4">
      <c r="B106" t="s">
        <v>416</v>
      </c>
      <c r="C106" t="s">
        <v>408</v>
      </c>
      <c r="D106">
        <v>1199384.9284253309</v>
      </c>
    </row>
    <row r="107" spans="2:4">
      <c r="B107" t="s">
        <v>416</v>
      </c>
      <c r="C107" t="s">
        <v>409</v>
      </c>
      <c r="D107">
        <v>351980.23570179095</v>
      </c>
    </row>
    <row r="108" spans="2:4">
      <c r="B108" t="s">
        <v>416</v>
      </c>
      <c r="C108" t="s">
        <v>410</v>
      </c>
      <c r="D108">
        <v>1810590.9686957148</v>
      </c>
    </row>
    <row r="109" spans="2:4">
      <c r="B109" t="s">
        <v>416</v>
      </c>
      <c r="C109" t="s">
        <v>411</v>
      </c>
      <c r="D109">
        <v>2313223.695152604</v>
      </c>
    </row>
    <row r="110" spans="2:4">
      <c r="B110" t="s">
        <v>416</v>
      </c>
      <c r="C110" t="s">
        <v>412</v>
      </c>
      <c r="D110">
        <v>1213200.1985969462</v>
      </c>
    </row>
  </sheetData>
  <phoneticPr fontId="22"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A2384-4132-C24C-9A85-82E90AE19F3C}">
  <dimension ref="A1:E17"/>
  <sheetViews>
    <sheetView tabSelected="1" zoomScale="150" zoomScaleNormal="150" workbookViewId="0">
      <selection activeCell="G20" sqref="G20"/>
    </sheetView>
  </sheetViews>
  <sheetFormatPr baseColWidth="10" defaultRowHeight="15"/>
  <sheetData>
    <row r="1" spans="1:5">
      <c r="A1" s="10" t="s">
        <v>19</v>
      </c>
      <c r="B1" s="10" t="s">
        <v>20</v>
      </c>
      <c r="D1" s="11">
        <v>44365</v>
      </c>
      <c r="E1" s="12">
        <v>2090.94</v>
      </c>
    </row>
    <row r="2" spans="1:5">
      <c r="A2" s="11">
        <v>44351</v>
      </c>
      <c r="B2" s="12">
        <v>2251.5</v>
      </c>
      <c r="D2" s="11">
        <v>44368</v>
      </c>
      <c r="E2" s="12">
        <v>2081.64</v>
      </c>
    </row>
    <row r="3" spans="1:5">
      <c r="A3" s="11">
        <v>44354</v>
      </c>
      <c r="B3" s="12">
        <v>2271</v>
      </c>
      <c r="D3" s="11">
        <v>44369</v>
      </c>
      <c r="E3" s="12">
        <v>2074.9699999999998</v>
      </c>
    </row>
    <row r="4" spans="1:5">
      <c r="A4" s="11">
        <v>44355</v>
      </c>
      <c r="B4" s="12">
        <v>2191</v>
      </c>
      <c r="D4" s="11">
        <v>44370</v>
      </c>
      <c r="E4" s="12">
        <v>2038</v>
      </c>
    </row>
    <row r="5" spans="1:5">
      <c r="A5" s="11">
        <v>44356</v>
      </c>
      <c r="B5" s="12">
        <v>2199.5</v>
      </c>
      <c r="D5" s="11">
        <v>44371</v>
      </c>
      <c r="E5" s="12">
        <v>2068.0500000000002</v>
      </c>
    </row>
    <row r="6" spans="1:5">
      <c r="A6" s="11">
        <v>44357</v>
      </c>
      <c r="B6" s="12">
        <v>2238.48</v>
      </c>
      <c r="D6" s="11">
        <v>44372</v>
      </c>
      <c r="E6" s="12">
        <v>2092</v>
      </c>
    </row>
    <row r="7" spans="1:5">
      <c r="A7" s="11">
        <v>44358</v>
      </c>
      <c r="B7" s="12">
        <v>2178.81</v>
      </c>
      <c r="D7" s="11">
        <v>44375</v>
      </c>
      <c r="E7" s="12">
        <v>2103.0100000000002</v>
      </c>
    </row>
    <row r="8" spans="1:5">
      <c r="A8" s="11">
        <v>44362</v>
      </c>
      <c r="B8" s="12">
        <v>2193</v>
      </c>
      <c r="D8" s="11">
        <v>44376</v>
      </c>
      <c r="E8" s="12">
        <v>2062</v>
      </c>
    </row>
    <row r="9" spans="1:5">
      <c r="A9" s="11">
        <v>44363</v>
      </c>
      <c r="B9" s="12">
        <v>2158</v>
      </c>
      <c r="D9" s="11">
        <v>44377</v>
      </c>
      <c r="E9" s="12">
        <v>2056.6999999999998</v>
      </c>
    </row>
    <row r="10" spans="1:5">
      <c r="A10" s="11">
        <v>44364</v>
      </c>
      <c r="B10" s="12">
        <v>2156.91</v>
      </c>
      <c r="D10" s="11">
        <v>44378</v>
      </c>
      <c r="E10" s="12">
        <v>2105</v>
      </c>
    </row>
    <row r="13" spans="1:5">
      <c r="C13" s="13" cm="1">
        <f t="array" aca="1" ref="C13:C17" ca="1">最后五天日期</f>
        <v>44357</v>
      </c>
      <c r="D13" cm="1">
        <f t="array" aca="1" ref="D13:D17" ca="1">最后五天开盘价</f>
        <v>2238.48</v>
      </c>
    </row>
    <row r="14" spans="1:5">
      <c r="C14">
        <f ca="1"/>
        <v>44358</v>
      </c>
      <c r="D14">
        <f ca="1"/>
        <v>2178.81</v>
      </c>
    </row>
    <row r="15" spans="1:5">
      <c r="C15">
        <f ca="1"/>
        <v>44362</v>
      </c>
      <c r="D15">
        <f ca="1"/>
        <v>2193</v>
      </c>
    </row>
    <row r="16" spans="1:5">
      <c r="C16">
        <f ca="1"/>
        <v>44363</v>
      </c>
      <c r="D16">
        <f ca="1"/>
        <v>2158</v>
      </c>
    </row>
    <row r="17" spans="3:4">
      <c r="C17">
        <f ca="1"/>
        <v>44364</v>
      </c>
      <c r="D17">
        <f ca="1"/>
        <v>2156.91</v>
      </c>
    </row>
  </sheetData>
  <phoneticPr fontId="1"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9A085-C218-024F-872C-830C0CCFCAF5}">
  <dimension ref="A1:D9"/>
  <sheetViews>
    <sheetView zoomScale="120" zoomScaleNormal="120" workbookViewId="0">
      <selection activeCell="J33" sqref="J33"/>
    </sheetView>
  </sheetViews>
  <sheetFormatPr baseColWidth="10" defaultRowHeight="15"/>
  <cols>
    <col min="1" max="1" width="14.1640625" bestFit="1" customWidth="1"/>
  </cols>
  <sheetData>
    <row r="1" spans="1:4">
      <c r="A1" s="14" t="s">
        <v>115</v>
      </c>
      <c r="B1" s="15" t="s">
        <v>120</v>
      </c>
      <c r="C1" s="15" t="s">
        <v>121</v>
      </c>
      <c r="D1" s="15" t="s">
        <v>122</v>
      </c>
    </row>
    <row r="2" spans="1:4">
      <c r="A2" s="26" t="s">
        <v>116</v>
      </c>
      <c r="B2" s="17">
        <v>45000</v>
      </c>
      <c r="C2" s="17">
        <v>44521</v>
      </c>
      <c r="D2" s="27">
        <f>C2/B2</f>
        <v>0.98935555555555554</v>
      </c>
    </row>
    <row r="3" spans="1:4">
      <c r="A3" s="26" t="s">
        <v>117</v>
      </c>
      <c r="B3" s="17">
        <v>25000</v>
      </c>
      <c r="C3" s="17">
        <v>24821</v>
      </c>
      <c r="D3" s="27">
        <f t="shared" ref="D3:D9" si="0">C3/B3</f>
        <v>0.99283999999999994</v>
      </c>
    </row>
    <row r="4" spans="1:4">
      <c r="A4" s="26" t="s">
        <v>118</v>
      </c>
      <c r="B4" s="17">
        <v>11000</v>
      </c>
      <c r="C4" s="17">
        <v>10798</v>
      </c>
      <c r="D4" s="27">
        <f t="shared" si="0"/>
        <v>0.98163636363636364</v>
      </c>
    </row>
    <row r="5" spans="1:4">
      <c r="A5" s="26" t="s">
        <v>119</v>
      </c>
      <c r="B5" s="17">
        <v>7000</v>
      </c>
      <c r="C5" s="17">
        <v>6799</v>
      </c>
      <c r="D5" s="27">
        <f t="shared" si="0"/>
        <v>0.97128571428571431</v>
      </c>
    </row>
    <row r="6" spans="1:4">
      <c r="A6" s="26" t="s">
        <v>123</v>
      </c>
      <c r="B6" s="17">
        <v>6650</v>
      </c>
      <c r="C6" s="17">
        <v>6550</v>
      </c>
      <c r="D6" s="27">
        <f t="shared" si="0"/>
        <v>0.98496240601503759</v>
      </c>
    </row>
    <row r="7" spans="1:4">
      <c r="A7" s="26" t="s">
        <v>124</v>
      </c>
      <c r="B7" s="17">
        <v>1200</v>
      </c>
      <c r="C7" s="17">
        <v>1189</v>
      </c>
      <c r="D7" s="27">
        <f t="shared" si="0"/>
        <v>0.99083333333333334</v>
      </c>
    </row>
    <row r="8" spans="1:4">
      <c r="A8" s="26" t="s">
        <v>125</v>
      </c>
      <c r="B8" s="17">
        <v>1100</v>
      </c>
      <c r="C8" s="17">
        <v>1098</v>
      </c>
      <c r="D8" s="27">
        <f t="shared" si="0"/>
        <v>0.99818181818181817</v>
      </c>
    </row>
    <row r="9" spans="1:4">
      <c r="A9" s="26" t="s">
        <v>126</v>
      </c>
      <c r="B9" s="17">
        <v>900</v>
      </c>
      <c r="C9" s="17">
        <v>893</v>
      </c>
      <c r="D9" s="27">
        <f t="shared" si="0"/>
        <v>0.99222222222222223</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10</vt:i4>
      </vt:variant>
    </vt:vector>
  </HeadingPairs>
  <TitlesOfParts>
    <vt:vector size="10" baseType="lpstr">
      <vt:lpstr>EXCEL课件</vt:lpstr>
      <vt:lpstr>错位法</vt:lpstr>
      <vt:lpstr>欺骗法</vt:lpstr>
      <vt:lpstr>控制法</vt:lpstr>
      <vt:lpstr>推导法</vt:lpstr>
      <vt:lpstr>虚拟法</vt:lpstr>
      <vt:lpstr>误差法</vt:lpstr>
      <vt:lpstr>其它图表</vt:lpstr>
      <vt:lpstr>Offset动态图表</vt:lpstr>
      <vt:lpstr>我的练习</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王佩丰</dc:creator>
  <cp:lastModifiedBy>a30517</cp:lastModifiedBy>
  <cp:lastPrinted>2009-11-19T09:11:05Z</cp:lastPrinted>
  <dcterms:created xsi:type="dcterms:W3CDTF">1996-12-17T01:32:42Z</dcterms:created>
  <dcterms:modified xsi:type="dcterms:W3CDTF">2026-09-10T13:31:32Z</dcterms:modified>
</cp:coreProperties>
</file>