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data-analytics_excel/"/>
    </mc:Choice>
  </mc:AlternateContent>
  <xr:revisionPtr revIDLastSave="0" documentId="13_ncr:1_{4E2CB850-28F0-A243-A70F-DEF93EA58D28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图表练习" sheetId="3" r:id="rId2"/>
    <sheet name="Offset动态图表" sheetId="2" r:id="rId3"/>
  </sheets>
  <definedNames>
    <definedName name="最后五天开盘价" localSheetId="2">OFFSET(Offset动态图表!$B$1,COUNTA(Offset动态图表!$B:$B)-5,0,5,1)</definedName>
    <definedName name="最后五天日期" localSheetId="2">OFFSET(Offset动态图表!$A$1,COUNTA(Offset动态图表!$A:$A)-5,0,5,1)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9" i="3" l="1"/>
  <c r="O90" i="3"/>
  <c r="O91" i="3"/>
  <c r="O92" i="3"/>
  <c r="O93" i="3"/>
  <c r="O94" i="3"/>
  <c r="O95" i="3"/>
  <c r="O96" i="3"/>
  <c r="O88" i="3"/>
  <c r="N89" i="3"/>
  <c r="N90" i="3"/>
  <c r="N91" i="3"/>
  <c r="N92" i="3"/>
  <c r="N93" i="3"/>
  <c r="N94" i="3"/>
  <c r="N95" i="3"/>
  <c r="N96" i="3"/>
  <c r="N88" i="3"/>
  <c r="I89" i="3"/>
  <c r="I88" i="3"/>
  <c r="I87" i="3"/>
  <c r="I86" i="3"/>
  <c r="I85" i="3"/>
  <c r="I84" i="3"/>
  <c r="E78" i="3"/>
  <c r="E77" i="3"/>
  <c r="E76" i="3"/>
  <c r="E75" i="3"/>
  <c r="E74" i="3"/>
  <c r="E73" i="3"/>
  <c r="E72" i="3"/>
  <c r="E71" i="3"/>
  <c r="E70" i="3"/>
  <c r="N48" i="3"/>
  <c r="D41" i="3"/>
  <c r="D42" i="3"/>
  <c r="D43" i="3"/>
  <c r="D44" i="3"/>
  <c r="D45" i="3"/>
  <c r="D46" i="3"/>
  <c r="D47" i="3"/>
  <c r="D48" i="3"/>
  <c r="D49" i="3"/>
  <c r="D50" i="3"/>
  <c r="D51" i="3"/>
  <c r="D40" i="3"/>
  <c r="C41" i="3"/>
  <c r="C42" i="3"/>
  <c r="C43" i="3"/>
  <c r="C44" i="3"/>
  <c r="C45" i="3"/>
  <c r="C46" i="3"/>
  <c r="C47" i="3"/>
  <c r="C48" i="3"/>
  <c r="C49" i="3"/>
  <c r="C50" i="3"/>
  <c r="C51" i="3"/>
  <c r="C40" i="3"/>
  <c r="D13" i="2" a="1"/>
  <c r="D13" i="2" s="1"/>
  <c r="C13" i="2" a="1"/>
  <c r="C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<sst xmlns="http://schemas.openxmlformats.org/spreadsheetml/2006/main" count="292" uniqueCount="189">
  <si>
    <t>一、</t>
    <phoneticPr fontId="1" type="noConversion"/>
  </si>
  <si>
    <t>二、</t>
    <phoneticPr fontId="1" type="noConversion"/>
  </si>
  <si>
    <t>选中数据区域-插入-不同类型的图表</t>
    <phoneticPr fontId="1" type="noConversion"/>
  </si>
  <si>
    <t>图表标题背景-右键标题-设置标题格式</t>
    <phoneticPr fontId="1" type="noConversion"/>
  </si>
  <si>
    <t>设置菜单目录-插入-形状-设计样式-查找和选择-选择对象-形状格式-对齐方式</t>
    <phoneticPr fontId="1" type="noConversion"/>
  </si>
  <si>
    <t>右键图形-超链接-此文档内选择对应sheet表-在对应的表内设置选中背景色</t>
    <phoneticPr fontId="1" type="noConversion"/>
  </si>
  <si>
    <t>1、Offset函数概述</t>
    <phoneticPr fontId="1" type="noConversion"/>
  </si>
  <si>
    <t xml:space="preserve">利用Offset函数与控件创建动态图表
</t>
    <phoneticPr fontId="1" type="noConversion"/>
  </si>
  <si>
    <t>认识图表</t>
    <phoneticPr fontId="1" type="noConversion"/>
  </si>
  <si>
    <t>hyperlink</t>
    <phoneticPr fontId="1" type="noConversion"/>
  </si>
  <si>
    <t>OFFSET(ref*,rows*,column*,height,width)</t>
    <phoneticPr fontId="1" type="noConversion"/>
  </si>
  <si>
    <t>指定行列数返回单元格或单元格区域中的引用</t>
  </si>
  <si>
    <t>参数1:</t>
    <phoneticPr fontId="1" type="noConversion"/>
  </si>
  <si>
    <t>参数2:</t>
    <phoneticPr fontId="1" type="noConversion"/>
  </si>
  <si>
    <t>参数3:</t>
    <phoneticPr fontId="1" type="noConversion"/>
  </si>
  <si>
    <t>参数4:</t>
    <phoneticPr fontId="1" type="noConversion"/>
  </si>
  <si>
    <t>引用区域*</t>
    <phoneticPr fontId="1" type="noConversion"/>
  </si>
  <si>
    <t>按行偏移*</t>
    <phoneticPr fontId="1" type="noConversion"/>
  </si>
  <si>
    <t>按列偏移*</t>
    <phoneticPr fontId="1" type="noConversion"/>
  </si>
  <si>
    <t>参数5:</t>
    <phoneticPr fontId="1" type="noConversion"/>
  </si>
  <si>
    <t>返回值列宽</t>
    <phoneticPr fontId="1" type="noConversion"/>
  </si>
  <si>
    <t>返回值行高</t>
    <phoneticPr fontId="1" type="noConversion"/>
  </si>
  <si>
    <t>2、生成动态图表</t>
    <phoneticPr fontId="1" type="noConversion"/>
  </si>
  <si>
    <t>日期</t>
  </si>
  <si>
    <t>开盘价</t>
  </si>
  <si>
    <t>OFFSET+定义名称+插入图表</t>
    <phoneticPr fontId="1" type="noConversion"/>
  </si>
  <si>
    <t>选择空白单元格插入空白图表-右键选择数据-数据来源选择当前表-定义的名称</t>
    <phoneticPr fontId="1" type="noConversion"/>
  </si>
  <si>
    <t>水平轴-右键选择数据-水平轴标签-更改为横坐标日期</t>
    <phoneticPr fontId="1" type="noConversion"/>
  </si>
  <si>
    <t>例如配合COUNTA排除标题行 动态获取某列数据</t>
    <phoneticPr fontId="1" type="noConversion"/>
  </si>
  <si>
    <t>1、插入数据或删除元素</t>
    <phoneticPr fontId="1" type="noConversion"/>
  </si>
  <si>
    <t>图表动态标题-选择插入图表的标题-在公式栏-选择某个单元格文本</t>
    <phoneticPr fontId="1" type="noConversion"/>
  </si>
  <si>
    <t>可以通过选项卡设置图表元素-图表设计-添加图表元素</t>
    <phoneticPr fontId="1" type="noConversion"/>
  </si>
  <si>
    <t>2、柱状图设置对比进度条</t>
    <phoneticPr fontId="1" type="noConversion"/>
  </si>
  <si>
    <t>选中图表-右键数据系列-设置数据系列格式-系列选项-系列重叠</t>
    <phoneticPr fontId="1" type="noConversion"/>
  </si>
  <si>
    <t>系列选项-填充色选择无填充-边框选择实线-边框线红颜色</t>
    <phoneticPr fontId="1" type="noConversion"/>
  </si>
  <si>
    <t>部门</t>
  </si>
  <si>
    <t>A产品</t>
  </si>
  <si>
    <t>B产品</t>
  </si>
  <si>
    <t>销售一部</t>
  </si>
  <si>
    <t>销售二部</t>
  </si>
  <si>
    <t>销售三部</t>
  </si>
  <si>
    <t>柱形图设置系列数据宽度-系列间隙</t>
    <phoneticPr fontId="1" type="noConversion"/>
  </si>
  <si>
    <t>入职人数</t>
  </si>
  <si>
    <t>3、利用图片设置条形进度</t>
    <phoneticPr fontId="1" type="noConversion"/>
  </si>
  <si>
    <t>选择图片复制-右键数据系列粘贴-设置形状格式-填充层叠</t>
    <phoneticPr fontId="1" type="noConversion"/>
  </si>
  <si>
    <t>男</t>
  </si>
  <si>
    <t>女</t>
  </si>
  <si>
    <t>辅助</t>
  </si>
  <si>
    <t>比例</t>
  </si>
  <si>
    <t>2019年</t>
  </si>
  <si>
    <t>全部指标</t>
  </si>
  <si>
    <t>指标完成比例</t>
  </si>
  <si>
    <t>1月</t>
  </si>
  <si>
    <t>2月</t>
  </si>
  <si>
    <t>3月</t>
  </si>
  <si>
    <t>4月</t>
  </si>
  <si>
    <t>5月</t>
  </si>
  <si>
    <t>6月</t>
  </si>
  <si>
    <t>7月</t>
  </si>
  <si>
    <t>8月</t>
  </si>
  <si>
    <t>4、设置双坐标轴图表</t>
    <phoneticPr fontId="1" type="noConversion"/>
  </si>
  <si>
    <t>全年计划</t>
  </si>
  <si>
    <t>销售四部</t>
  </si>
  <si>
    <t>插入-组合图表-图表格式-左侧下拉项-选择对应的系列数据-设置数据系列格式-次坐标轴</t>
    <phoneticPr fontId="1" type="noConversion"/>
  </si>
  <si>
    <t>一月</t>
  </si>
  <si>
    <t>二月</t>
  </si>
  <si>
    <t>三月</t>
  </si>
  <si>
    <t>5、折线图中数据错乱</t>
    <phoneticPr fontId="1" type="noConversion"/>
  </si>
  <si>
    <t>日期数据可能导致作为系列展示到图表中-图表设计-切换行列</t>
    <phoneticPr fontId="1" type="noConversion"/>
  </si>
  <si>
    <t>或者是通过选择数据-在水平轴上选择数据系列-切换对应的展示方式</t>
    <phoneticPr fontId="1" type="noConversion"/>
  </si>
  <si>
    <t>6、折线图中绘制直线</t>
    <phoneticPr fontId="1" type="noConversion"/>
  </si>
  <si>
    <t>创建辅助列数据在图表上生成三条标记线</t>
    <phoneticPr fontId="1" type="noConversion"/>
  </si>
  <si>
    <t>订购日期</t>
  </si>
  <si>
    <t>销售额</t>
  </si>
  <si>
    <t>最大值</t>
  </si>
  <si>
    <t>最小值</t>
  </si>
  <si>
    <t>斜线</t>
  </si>
  <si>
    <t>9月</t>
  </si>
  <si>
    <t>10月</t>
  </si>
  <si>
    <t>11月</t>
  </si>
  <si>
    <t>12月</t>
  </si>
  <si>
    <t>搭配MAX+MIN函数生成区域线 趋势线中心水平线用数据中最大与最小值表示数据趋势</t>
    <phoneticPr fontId="1" type="noConversion"/>
  </si>
  <si>
    <t>插入折线图-选择数据-隐藏和清空单元格-空单元格显示为-用直线连接</t>
    <phoneticPr fontId="1" type="noConversion"/>
  </si>
  <si>
    <t>7、折线图与面积图区别</t>
    <phoneticPr fontId="1" type="noConversion"/>
  </si>
  <si>
    <t>当需要堆积数据时使用面积图更加直观</t>
    <phoneticPr fontId="1" type="noConversion"/>
  </si>
  <si>
    <t>插入面积图-选择第二种类型图表-设置图表格式-系列数据设置填充背景透明</t>
    <phoneticPr fontId="1" type="noConversion"/>
  </si>
  <si>
    <t>面积图上方增加边缘线-复制对应的系列数据-设置组合图-面积图与折线图</t>
    <phoneticPr fontId="1" type="noConversion"/>
  </si>
  <si>
    <t>8、饼图与复合饼图</t>
    <phoneticPr fontId="1" type="noConversion"/>
  </si>
  <si>
    <t>季度</t>
  </si>
  <si>
    <t>金额</t>
  </si>
  <si>
    <t>一季度</t>
  </si>
  <si>
    <t>二季度</t>
  </si>
  <si>
    <t>三季度</t>
  </si>
  <si>
    <t>插入复合饼图-数据格式要求明细数据跟随在一级数据下方</t>
    <phoneticPr fontId="1" type="noConversion"/>
  </si>
  <si>
    <t>9、环形图进度系列</t>
    <phoneticPr fontId="1" type="noConversion"/>
  </si>
  <si>
    <t>辅助列</t>
  </si>
  <si>
    <t>工作时长(h)\</t>
  </si>
  <si>
    <t>添加辅助列-插入环形图-切换数据行列-设置图表系列格式-圆环大小</t>
    <phoneticPr fontId="1" type="noConversion"/>
  </si>
  <si>
    <t>时间进度环形图-插入组合图-分别更改系列数据的图表类型-环形图-主次坐标</t>
    <phoneticPr fontId="1" type="noConversion"/>
  </si>
  <si>
    <t>10、堆积柱形图显示总计</t>
    <phoneticPr fontId="1" type="noConversion"/>
  </si>
  <si>
    <t>辅助列总计求和-插入堆积柱形图-设置系列图表格式-总计以折线图显示</t>
    <phoneticPr fontId="1" type="noConversion"/>
  </si>
  <si>
    <t>总计</t>
  </si>
  <si>
    <t>天数</t>
  </si>
  <si>
    <t>计划开始日</t>
  </si>
  <si>
    <t>项目确定</t>
  </si>
  <si>
    <t>问卷设计</t>
  </si>
  <si>
    <t>试访</t>
  </si>
  <si>
    <t>问卷确定</t>
  </si>
  <si>
    <t>实地执行</t>
  </si>
  <si>
    <t>数据录入</t>
  </si>
  <si>
    <t>数据分析</t>
  </si>
  <si>
    <t>报告提交</t>
  </si>
  <si>
    <t>11、使用堆积条形图创建甘特图</t>
    <phoneticPr fontId="1" type="noConversion"/>
  </si>
  <si>
    <t>插入堆积条形图-设置坐标轴格式-更改坐标轴位置-逆序类别</t>
    <phoneticPr fontId="1" type="noConversion"/>
  </si>
  <si>
    <t>选择系列数据-设置坐标轴选项-边界值</t>
    <phoneticPr fontId="1" type="noConversion"/>
  </si>
  <si>
    <t>地区</t>
  </si>
  <si>
    <t>营业额（万）</t>
  </si>
  <si>
    <t>指标完成度</t>
  </si>
  <si>
    <t>北京</t>
  </si>
  <si>
    <t>上海</t>
  </si>
  <si>
    <t>广州</t>
  </si>
  <si>
    <t>深圳</t>
  </si>
  <si>
    <t>成都</t>
  </si>
  <si>
    <t>12、坐标轴设置</t>
    <phoneticPr fontId="1" type="noConversion"/>
  </si>
  <si>
    <t>出口</t>
  </si>
  <si>
    <t>内销</t>
  </si>
  <si>
    <t>2011年</t>
  </si>
  <si>
    <t>2010年</t>
  </si>
  <si>
    <t>2009年</t>
  </si>
  <si>
    <t>2008年</t>
  </si>
  <si>
    <t>2007年</t>
  </si>
  <si>
    <t>2006年</t>
  </si>
  <si>
    <t>a.分层图表-插入组合图-调整坐标轴边界最大值-将柱状图压缩一半的空间</t>
    <phoneticPr fontId="1" type="noConversion"/>
  </si>
  <si>
    <t>b.一图变两图-插入组合图-调整横坐标轴交叉-设置坐标轴值</t>
    <phoneticPr fontId="1" type="noConversion"/>
  </si>
  <si>
    <t>c.旋风图</t>
    <phoneticPr fontId="1" type="noConversion"/>
  </si>
  <si>
    <t>四月</t>
  </si>
  <si>
    <t>五月</t>
  </si>
  <si>
    <t>六月</t>
  </si>
  <si>
    <t>七月</t>
  </si>
  <si>
    <t>八月</t>
  </si>
  <si>
    <t>九月</t>
  </si>
  <si>
    <t>事件</t>
  </si>
  <si>
    <t>1月 金山云与马上消费金融达成战略合作 共缔金融生态圈</t>
  </si>
  <si>
    <t>2月 IDC：金山云稳居2019 Q3 中国公有云互联网前三</t>
  </si>
  <si>
    <t>3月 金山云边缘计算助力爱奇艺，冲进30毫秒高速区</t>
  </si>
  <si>
    <t>3月 金山云直播加速产品入围“科技冬奥、智慧北京”十佳名单</t>
  </si>
  <si>
    <t>3月 数字化助力，“新基建”蓝图初显</t>
  </si>
  <si>
    <t>5月 金山云纳斯达克敲钟上市 不负时代的机遇</t>
  </si>
  <si>
    <t>5月 金山云上市首日股价涨超40％ 迎来高光时刻</t>
  </si>
  <si>
    <t>5月 “All in”云服务 金山云登陆纳斯达克</t>
  </si>
  <si>
    <t>6月 一图看懂金山云2020年Q1财报</t>
  </si>
  <si>
    <t>7月 首批！金山云获得可信金融云解决方案认证</t>
  </si>
  <si>
    <t>高度</t>
    <phoneticPr fontId="1" type="noConversion"/>
  </si>
  <si>
    <t>13、xy散点图</t>
    <phoneticPr fontId="1" type="noConversion"/>
  </si>
  <si>
    <t>用来解读数据的分布情况</t>
    <phoneticPr fontId="1" type="noConversion"/>
  </si>
  <si>
    <t>散点图的插入先选中空白单元格 手动指定xy的坐标</t>
    <phoneticPr fontId="1" type="noConversion"/>
  </si>
  <si>
    <t>产品</t>
  </si>
  <si>
    <t>单价</t>
  </si>
  <si>
    <t>奶酪</t>
  </si>
  <si>
    <t>鸡精</t>
  </si>
  <si>
    <t>胡椒</t>
  </si>
  <si>
    <t>鸡</t>
  </si>
  <si>
    <t>酱油</t>
  </si>
  <si>
    <t>麻油</t>
  </si>
  <si>
    <t>蟹</t>
  </si>
  <si>
    <t>波士顿矩阵 四象限图用来拆解数据的分类</t>
    <phoneticPr fontId="1" type="noConversion"/>
  </si>
  <si>
    <t>市场份额（X轴）</t>
  </si>
  <si>
    <t>成长率（Y轴）</t>
  </si>
  <si>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</si>
  <si>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B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</si>
  <si>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</si>
  <si>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</si>
  <si>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E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</si>
  <si>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F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</si>
  <si>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G</t>
    </r>
    <r>
      <rPr>
        <sz val="10"/>
        <rFont val="宋体"/>
        <family val="3"/>
        <charset val="134"/>
      </rPr>
      <t>产品</t>
    </r>
  </si>
  <si>
    <r>
      <rPr>
        <sz val="10"/>
        <rFont val="Arial"/>
        <family val="2"/>
      </rPr>
      <t>H</t>
    </r>
    <r>
      <rPr>
        <sz val="10"/>
        <rFont val="宋体"/>
        <family val="3"/>
        <charset val="134"/>
      </rPr>
      <t>产品</t>
    </r>
  </si>
  <si>
    <t>三、</t>
    <phoneticPr fontId="1" type="noConversion"/>
  </si>
  <si>
    <t>图表进阶</t>
    <phoneticPr fontId="1" type="noConversion"/>
  </si>
  <si>
    <t>1、错位法（全部数据）</t>
    <phoneticPr fontId="1" type="noConversion"/>
  </si>
  <si>
    <t>2、欺骗法（全部数据）</t>
    <phoneticPr fontId="1" type="noConversion"/>
  </si>
  <si>
    <t>3、控制法（部分数据）</t>
    <phoneticPr fontId="1" type="noConversion"/>
  </si>
  <si>
    <t>4、推导法（少量数据）</t>
    <phoneticPr fontId="1" type="noConversion"/>
  </si>
  <si>
    <t>5、虚拟法（无数据）</t>
    <phoneticPr fontId="1" type="noConversion"/>
  </si>
  <si>
    <t>6、误差法（少量数据）</t>
    <phoneticPr fontId="1" type="noConversion"/>
  </si>
  <si>
    <t>a.图表是由哪些基本元素组成的</t>
    <phoneticPr fontId="1" type="noConversion"/>
  </si>
  <si>
    <t>b.在这些元素里重点是坐标轴对象</t>
    <phoneticPr fontId="1" type="noConversion"/>
  </si>
  <si>
    <t>c.通过坐标轴的错位调整可以实现各种高阶图表</t>
    <phoneticPr fontId="1" type="noConversion"/>
  </si>
  <si>
    <t>拼积木游戏 例柱状图包含标题、纵坐标数值轴、横坐标分类轴、中间数据项、网格线</t>
    <phoneticPr fontId="1" type="noConversion"/>
  </si>
  <si>
    <t>元素都包含哪些？图表设计-添加图表元素-所有的元素选项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</si>
</sst>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76" formatCode="yyyy/m/d;@"/>
    <numFmt numFmtId="177" formatCode="0.0%"/>
    <numFmt numFmtId="178" formatCode="0.0_ "/>
    <numFmt numFmtId="179" formatCode="\a"/>
    <numFmt numFmtId="180" formatCode="&quot;b&quot;"/>
    <numFmt numFmtId="181" formatCode="\c"/>
    <numFmt numFmtId="182" formatCode="&quot;D&quot;"/>
    <numFmt numFmtId="183" formatCode="\f"/>
  </numFmts>
  <fonts count="22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1"/>
      <color theme="0"/>
      <name val="宋体"/>
      <family val="3"/>
      <charset val="134"/>
      <scheme val="minor"/>
    </font>
    <font>
      <sz val="10"/>
      <name val="MS Sans Serif"/>
      <family val="2"/>
    </font>
    <font>
      <sz val="10"/>
      <name val="MS Sans Serif"/>
    </font>
    <font>
      <sz val="12"/>
      <name val="宋体"/>
      <family val="3"/>
      <charset val="134"/>
    </font>
    <font>
      <sz val="9"/>
      <color theme="0"/>
      <name val="宋体"/>
      <family val="3"/>
      <charset val="134"/>
    </font>
    <font>
      <b/>
      <sz val="12"/>
      <color theme="0"/>
      <name val="宋体"/>
      <family val="3"/>
      <charset val="134"/>
    </font>
    <font>
      <sz val="12"/>
      <name val="宋体"/>
      <family val="3"/>
      <charset val="134"/>
    </font>
    <font>
      <b/>
      <sz val="11"/>
      <color theme="0"/>
      <name val="宋体"/>
      <family val="3"/>
      <charset val="134"/>
      <scheme val="minor"/>
    </font>
    <font>
      <b/>
      <sz val="10"/>
      <color indexed="9"/>
      <name val="宋体"/>
      <family val="3"/>
      <charset val="134"/>
    </font>
    <font>
      <sz val="10"/>
      <name val="Arial"/>
      <family val="2"/>
    </font>
    <font>
      <sz val="10"/>
      <color rgb="FFFF0000"/>
      <name val="宋体"/>
      <family val="3"/>
      <charset val="134"/>
    </font>
    <font>
      <sz val="10"/>
      <color theme="3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1FBB7D"/>
      </left>
      <right style="thin">
        <color rgb="FF1FBB7D"/>
      </right>
      <top style="thin">
        <color rgb="FF1FBB7D"/>
      </top>
      <bottom style="thin">
        <color rgb="FF1FBB7D"/>
      </bottom>
      <diagonal/>
    </border>
    <border>
      <left/>
      <right style="thin">
        <color rgb="FF1FBB7D"/>
      </right>
      <top/>
      <bottom style="thin">
        <color rgb="FF1FBB7D"/>
      </bottom>
      <diagonal/>
    </border>
    <border>
      <left style="thin">
        <color rgb="FF1FBB7D"/>
      </left>
      <right style="thin">
        <color rgb="FF1FBB7D"/>
      </right>
      <top/>
      <bottom style="thin">
        <color rgb="FF1FBB7D"/>
      </bottom>
      <diagonal/>
    </border>
    <border>
      <left/>
      <right style="thin">
        <color rgb="FF1FBB7D"/>
      </right>
      <top style="thin">
        <color rgb="FF1FBB7D"/>
      </top>
      <bottom style="thin">
        <color rgb="FF1FBB7D"/>
      </bottom>
      <diagonal/>
    </border>
    <border>
      <left style="thin">
        <color rgb="FF1FBB7D"/>
      </left>
      <right style="thin">
        <color rgb="FF1FBB7D"/>
      </right>
      <top style="thin">
        <color rgb="FF1FBB7D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6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  <xf numFmtId="9" fontId="13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</cellStyleXfs>
  <cellXfs count="53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2" fillId="0" borderId="0" xfId="2" applyAlignment="1" applyProtection="1">
      <protection locked="0"/>
    </xf>
    <xf numFmtId="0" fontId="4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2" borderId="2" xfId="0" applyFont="1" applyFill="1" applyBorder="1" applyAlignment="1">
      <alignment vertical="center"/>
    </xf>
    <xf numFmtId="176" fontId="0" fillId="0" borderId="2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" fillId="0" borderId="0" xfId="0" applyFont="1"/>
    <xf numFmtId="0" fontId="10" fillId="2" borderId="3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9" fontId="0" fillId="0" borderId="3" xfId="0" applyNumberFormat="1" applyBorder="1" applyAlignment="1">
      <alignment vertical="center"/>
    </xf>
    <xf numFmtId="9" fontId="0" fillId="0" borderId="0" xfId="0" applyNumberFormat="1"/>
    <xf numFmtId="0" fontId="9" fillId="0" borderId="0" xfId="0" applyFont="1" applyAlignment="1" applyProtection="1">
      <alignment vertical="center"/>
      <protection locked="0"/>
    </xf>
    <xf numFmtId="0" fontId="0" fillId="0" borderId="0" xfId="0" applyAlignment="1">
      <alignment vertical="center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0" fontId="11" fillId="0" borderId="2" xfId="0" applyFont="1" applyBorder="1"/>
    <xf numFmtId="0" fontId="12" fillId="0" borderId="2" xfId="0" applyFont="1" applyBorder="1"/>
    <xf numFmtId="14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4" fontId="0" fillId="0" borderId="0" xfId="0" applyNumberFormat="1"/>
    <xf numFmtId="0" fontId="14" fillId="3" borderId="8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177" fontId="1" fillId="0" borderId="8" xfId="3" applyNumberFormat="1" applyFont="1" applyBorder="1">
      <alignment vertical="center"/>
    </xf>
    <xf numFmtId="0" fontId="14" fillId="4" borderId="8" xfId="0" applyFont="1" applyFill="1" applyBorder="1" applyAlignment="1">
      <alignment horizontal="center" vertical="center"/>
    </xf>
    <xf numFmtId="0" fontId="0" fillId="0" borderId="0" xfId="0" applyAlignment="1">
      <alignment horizontal="right"/>
    </xf>
    <xf numFmtId="9" fontId="0" fillId="0" borderId="0" xfId="3" applyFont="1" applyAlignment="1"/>
    <xf numFmtId="0" fontId="15" fillId="2" borderId="0" xfId="0" applyFont="1" applyFill="1"/>
    <xf numFmtId="0" fontId="17" fillId="4" borderId="0" xfId="0" applyFont="1" applyFill="1" applyAlignment="1">
      <alignment vertical="center"/>
    </xf>
    <xf numFmtId="178" fontId="0" fillId="0" borderId="3" xfId="0" applyNumberFormat="1" applyBorder="1" applyAlignment="1">
      <alignment vertical="center"/>
    </xf>
    <xf numFmtId="0" fontId="18" fillId="5" borderId="0" xfId="0" applyFont="1" applyFill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43" fontId="19" fillId="0" borderId="0" xfId="4" applyFont="1">
      <alignment vertical="center"/>
    </xf>
    <xf numFmtId="10" fontId="19" fillId="0" borderId="0" xfId="4" applyNumberFormat="1" applyFont="1">
      <alignment vertical="center"/>
    </xf>
    <xf numFmtId="180" fontId="19" fillId="0" borderId="0" xfId="0" applyNumberFormat="1" applyFont="1" applyAlignment="1">
      <alignment horizontal="center" vertical="center"/>
    </xf>
    <xf numFmtId="181" fontId="19" fillId="0" borderId="0" xfId="0" applyNumberFormat="1" applyFont="1" applyAlignment="1">
      <alignment horizontal="center" vertical="center"/>
    </xf>
    <xf numFmtId="182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83" fontId="19" fillId="0" borderId="0" xfId="0" applyNumberFormat="1" applyFont="1" applyAlignment="1">
      <alignment horizontal="center" vertical="center"/>
    </xf>
    <xf numFmtId="0" fontId="20" fillId="0" borderId="0" xfId="0" applyFont="1" applyProtection="1">
      <protection locked="0"/>
    </xf>
    <xf numFmtId="0" fontId="21" fillId="0" borderId="0" xfId="0" applyFont="1" applyProtection="1">
      <protection locked="0"/>
    </xf>
  </cellXfs>
  <cellStyles count="5">
    <cellStyle name="百分比" xfId="3" builtinId="5"/>
    <cellStyle name="常规" xfId="0" builtinId="0"/>
    <cellStyle name="常规 2" xfId="1" xr:uid="{00000000-0005-0000-0000-000002000000}"/>
    <cellStyle name="超链接" xfId="2" builtinId="8"/>
    <cellStyle name="千位分隔" xfId="4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image" Target="../media/image6.emf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microsoft.com/office/2011/relationships/chartColorStyle" Target="colors21.xml"/><Relationship Id="rId1" Type="http://schemas.microsoft.com/office/2011/relationships/chartStyle" Target="style21.xml"/><Relationship Id="rId4" Type="http://schemas.openxmlformats.org/officeDocument/2006/relationships/chartUserShapes" Target="../drawings/drawing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图表进度条</a:t>
            </a:r>
            <a:endParaRPr 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图表练习!$B$1</c:f>
              <c:strCache>
                <c:ptCount val="1"/>
                <c:pt idx="0">
                  <c:v>A产品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图表练习!$A$2:$A$4</c:f>
              <c:strCache>
                <c:ptCount val="3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</c:strCache>
            </c:strRef>
          </c:cat>
          <c:val>
            <c:numRef>
              <c:f>图表练习!$B$2:$B$4</c:f>
              <c:numCache>
                <c:formatCode>General</c:formatCode>
                <c:ptCount val="3"/>
                <c:pt idx="0">
                  <c:v>30</c:v>
                </c:pt>
                <c:pt idx="1">
                  <c:v>35</c:v>
                </c:pt>
                <c:pt idx="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0F-044F-A6AF-9A809F81CB26}"/>
            </c:ext>
          </c:extLst>
        </c:ser>
        <c:ser>
          <c:idx val="1"/>
          <c:order val="1"/>
          <c:tx>
            <c:strRef>
              <c:f>图表练习!$C$1</c:f>
              <c:strCache>
                <c:ptCount val="1"/>
                <c:pt idx="0">
                  <c:v>B产品</c:v>
                </c:pt>
              </c:strCache>
            </c:strRef>
          </c:tx>
          <c:spPr>
            <a:noFill/>
            <a:ln w="25400"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图表练习!$A$2:$A$4</c:f>
              <c:strCache>
                <c:ptCount val="3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</c:strCache>
            </c:strRef>
          </c:cat>
          <c:val>
            <c:numRef>
              <c:f>图表练习!$C$2:$C$4</c:f>
              <c:numCache>
                <c:formatCode>General</c:formatCode>
                <c:ptCount val="3"/>
                <c:pt idx="0">
                  <c:v>25</c:v>
                </c:pt>
                <c:pt idx="1">
                  <c:v>30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0F-044F-A6AF-9A809F81CB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0"/>
        <c:overlap val="100"/>
        <c:axId val="2077965632"/>
        <c:axId val="2077963392"/>
      </c:barChart>
      <c:catAx>
        <c:axId val="207796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7963392"/>
        <c:crosses val="autoZero"/>
        <c:auto val="1"/>
        <c:lblAlgn val="ctr"/>
        <c:lblOffset val="100"/>
        <c:noMultiLvlLbl val="0"/>
      </c:catAx>
      <c:valAx>
        <c:axId val="207796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796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图片进度条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图表练习!$B$6</c:f>
              <c:strCache>
                <c:ptCount val="1"/>
                <c:pt idx="0">
                  <c:v>入职人数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pictureOptions>
            <c:pictureFormat val="stack"/>
          </c:pictureOptions>
          <c:cat>
            <c:strRef>
              <c:f>图表练习!$A$7:$A$9</c:f>
              <c:strCache>
                <c:ptCount val="3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</c:strCache>
            </c:strRef>
          </c:cat>
          <c:val>
            <c:numRef>
              <c:f>图表练习!$B$7:$B$9</c:f>
              <c:numCache>
                <c:formatCode>General</c:formatCode>
                <c:ptCount val="3"/>
                <c:pt idx="0">
                  <c:v>30</c:v>
                </c:pt>
                <c:pt idx="1">
                  <c:v>35</c:v>
                </c:pt>
                <c:pt idx="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3-444D-84DC-B636B53EA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53482751"/>
        <c:axId val="53489023"/>
      </c:barChart>
      <c:catAx>
        <c:axId val="534827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89023"/>
        <c:crosses val="autoZero"/>
        <c:auto val="1"/>
        <c:lblAlgn val="ctr"/>
        <c:lblOffset val="100"/>
        <c:noMultiLvlLbl val="0"/>
      </c:catAx>
      <c:valAx>
        <c:axId val="5348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8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图片进度条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图表练习!$B$15</c:f>
              <c:strCache>
                <c:ptCount val="1"/>
                <c:pt idx="0">
                  <c:v>全部指标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cat>
            <c:strRef>
              <c:f>图表练习!$A$16:$A$23</c:f>
              <c:strCache>
                <c:ptCount val="8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</c:strCache>
            </c:strRef>
          </c:cat>
          <c:val>
            <c:numRef>
              <c:f>图表练习!$B$16:$B$23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3-D14F-90A3-9F075BF8D121}"/>
            </c:ext>
          </c:extLst>
        </c:ser>
        <c:ser>
          <c:idx val="1"/>
          <c:order val="1"/>
          <c:tx>
            <c:strRef>
              <c:f>图表练习!$C$15</c:f>
              <c:strCache>
                <c:ptCount val="1"/>
                <c:pt idx="0">
                  <c:v>指标完成比例</c:v>
                </c:pt>
              </c:strCache>
            </c:strRef>
          </c:tx>
          <c:spPr>
            <a:blipFill>
              <a:blip xmlns:r="http://schemas.openxmlformats.org/officeDocument/2006/relationships" r:embed="rId4"/>
              <a:stretch>
                <a:fillRect/>
              </a:stretch>
            </a:blipFill>
            <a:ln>
              <a:noFill/>
            </a:ln>
            <a:effectLst/>
          </c:spPr>
          <c:invertIfNegative val="0"/>
          <c:pictureOptions>
            <c:pictureFormat val="stackScale"/>
          </c:pictureOptions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图表练习!$A$16:$A$23</c:f>
              <c:strCache>
                <c:ptCount val="8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</c:strCache>
            </c:strRef>
          </c:cat>
          <c:val>
            <c:numRef>
              <c:f>图表练习!$C$16:$C$23</c:f>
              <c:numCache>
                <c:formatCode>0%</c:formatCode>
                <c:ptCount val="8"/>
                <c:pt idx="0">
                  <c:v>0.94</c:v>
                </c:pt>
                <c:pt idx="1">
                  <c:v>0.76</c:v>
                </c:pt>
                <c:pt idx="2">
                  <c:v>0.79</c:v>
                </c:pt>
                <c:pt idx="3">
                  <c:v>0.8</c:v>
                </c:pt>
                <c:pt idx="4">
                  <c:v>0.41</c:v>
                </c:pt>
                <c:pt idx="5">
                  <c:v>0.34</c:v>
                </c:pt>
                <c:pt idx="6">
                  <c:v>0.56999999999999995</c:v>
                </c:pt>
                <c:pt idx="7">
                  <c:v>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03-D14F-90A3-9F075BF8D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2077725504"/>
        <c:axId val="2077721024"/>
      </c:barChart>
      <c:catAx>
        <c:axId val="207772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7721024"/>
        <c:crosses val="autoZero"/>
        <c:auto val="1"/>
        <c:lblAlgn val="ctr"/>
        <c:lblOffset val="100"/>
        <c:noMultiLvlLbl val="0"/>
      </c:catAx>
      <c:valAx>
        <c:axId val="207772102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7772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双坐标轴图表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图表练习!$B$26</c:f>
              <c:strCache>
                <c:ptCount val="1"/>
                <c:pt idx="0">
                  <c:v>A产品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图表练习!$A$27:$A$30</c:f>
              <c:strCache>
                <c:ptCount val="4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  <c:pt idx="3">
                  <c:v>销售四部</c:v>
                </c:pt>
              </c:strCache>
            </c:strRef>
          </c:cat>
          <c:val>
            <c:numRef>
              <c:f>图表练习!$B$27:$B$30</c:f>
              <c:numCache>
                <c:formatCode>General</c:formatCode>
                <c:ptCount val="4"/>
                <c:pt idx="0">
                  <c:v>30</c:v>
                </c:pt>
                <c:pt idx="1">
                  <c:v>35</c:v>
                </c:pt>
                <c:pt idx="2">
                  <c:v>28</c:v>
                </c:pt>
                <c:pt idx="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E-E94F-AF5D-DFEB12CC7D32}"/>
            </c:ext>
          </c:extLst>
        </c:ser>
        <c:ser>
          <c:idx val="1"/>
          <c:order val="1"/>
          <c:tx>
            <c:strRef>
              <c:f>图表练习!$C$26</c:f>
              <c:strCache>
                <c:ptCount val="1"/>
                <c:pt idx="0">
                  <c:v>B产品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图表练习!$A$27:$A$30</c:f>
              <c:strCache>
                <c:ptCount val="4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  <c:pt idx="3">
                  <c:v>销售四部</c:v>
                </c:pt>
              </c:strCache>
            </c:strRef>
          </c:cat>
          <c:val>
            <c:numRef>
              <c:f>图表练习!$C$27:$C$30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32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1E-E94F-AF5D-DFEB12CC7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7780159"/>
        <c:axId val="1887769855"/>
      </c:barChart>
      <c:lineChart>
        <c:grouping val="standard"/>
        <c:varyColors val="0"/>
        <c:ser>
          <c:idx val="2"/>
          <c:order val="2"/>
          <c:tx>
            <c:strRef>
              <c:f>图表练习!$D$26</c:f>
              <c:strCache>
                <c:ptCount val="1"/>
                <c:pt idx="0">
                  <c:v>全年计划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图表练习!$A$27:$A$30</c:f>
              <c:strCache>
                <c:ptCount val="4"/>
                <c:pt idx="0">
                  <c:v>销售一部</c:v>
                </c:pt>
                <c:pt idx="1">
                  <c:v>销售二部</c:v>
                </c:pt>
                <c:pt idx="2">
                  <c:v>销售三部</c:v>
                </c:pt>
                <c:pt idx="3">
                  <c:v>销售四部</c:v>
                </c:pt>
              </c:strCache>
            </c:strRef>
          </c:cat>
          <c:val>
            <c:numRef>
              <c:f>图表练习!$D$27:$D$30</c:f>
              <c:numCache>
                <c:formatCode>0%</c:formatCode>
                <c:ptCount val="4"/>
                <c:pt idx="0">
                  <c:v>0.53</c:v>
                </c:pt>
                <c:pt idx="1">
                  <c:v>0.6</c:v>
                </c:pt>
                <c:pt idx="2">
                  <c:v>0.47</c:v>
                </c:pt>
                <c:pt idx="3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E-E94F-AF5D-DFEB12CC7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5779839"/>
        <c:axId val="1895777151"/>
      </c:lineChart>
      <c:catAx>
        <c:axId val="188778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7769855"/>
        <c:crosses val="autoZero"/>
        <c:auto val="1"/>
        <c:lblAlgn val="ctr"/>
        <c:lblOffset val="100"/>
        <c:noMultiLvlLbl val="0"/>
      </c:catAx>
      <c:valAx>
        <c:axId val="188776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7780159"/>
        <c:crosses val="autoZero"/>
        <c:crossBetween val="between"/>
      </c:valAx>
      <c:valAx>
        <c:axId val="1895777151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95779839"/>
        <c:crosses val="max"/>
        <c:crossBetween val="between"/>
      </c:valAx>
      <c:catAx>
        <c:axId val="18957798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95777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折线图坐标轴数据切换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图表练习!$B$33</c:f>
              <c:strCache>
                <c:ptCount val="1"/>
                <c:pt idx="0">
                  <c:v>销售一部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图表练习!$A$34:$A$36</c:f>
              <c:strCache>
                <c:ptCount val="3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</c:strCache>
            </c:strRef>
          </c:cat>
          <c:val>
            <c:numRef>
              <c:f>图表练习!$B$34:$B$36</c:f>
              <c:numCache>
                <c:formatCode>General</c:formatCode>
                <c:ptCount val="3"/>
                <c:pt idx="0">
                  <c:v>30</c:v>
                </c:pt>
                <c:pt idx="1">
                  <c:v>35</c:v>
                </c:pt>
                <c:pt idx="2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C1-3546-9081-94F5CA74D2DA}"/>
            </c:ext>
          </c:extLst>
        </c:ser>
        <c:ser>
          <c:idx val="1"/>
          <c:order val="1"/>
          <c:tx>
            <c:strRef>
              <c:f>图表练习!$C$33</c:f>
              <c:strCache>
                <c:ptCount val="1"/>
                <c:pt idx="0">
                  <c:v>销售二部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图表练习!$A$34:$A$36</c:f>
              <c:strCache>
                <c:ptCount val="3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</c:strCache>
            </c:strRef>
          </c:cat>
          <c:val>
            <c:numRef>
              <c:f>图表练习!$C$34:$C$36</c:f>
              <c:numCache>
                <c:formatCode>General</c:formatCode>
                <c:ptCount val="3"/>
                <c:pt idx="0">
                  <c:v>25</c:v>
                </c:pt>
                <c:pt idx="1">
                  <c:v>30</c:v>
                </c:pt>
                <c:pt idx="2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C1-3546-9081-94F5CA74D2DA}"/>
            </c:ext>
          </c:extLst>
        </c:ser>
        <c:ser>
          <c:idx val="2"/>
          <c:order val="2"/>
          <c:tx>
            <c:strRef>
              <c:f>图表练习!$D$33</c:f>
              <c:strCache>
                <c:ptCount val="1"/>
                <c:pt idx="0">
                  <c:v>销售三部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图表练习!$A$34:$A$36</c:f>
              <c:strCache>
                <c:ptCount val="3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</c:strCache>
            </c:strRef>
          </c:cat>
          <c:val>
            <c:numRef>
              <c:f>图表练习!$D$34:$D$36</c:f>
              <c:numCache>
                <c:formatCode>General</c:formatCode>
                <c:ptCount val="3"/>
                <c:pt idx="0">
                  <c:v>37</c:v>
                </c:pt>
                <c:pt idx="1">
                  <c:v>29</c:v>
                </c:pt>
                <c:pt idx="2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C1-3546-9081-94F5CA74D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7839743"/>
        <c:axId val="1942461887"/>
      </c:lineChart>
      <c:catAx>
        <c:axId val="192783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42461887"/>
        <c:crosses val="autoZero"/>
        <c:auto val="1"/>
        <c:lblAlgn val="ctr"/>
        <c:lblOffset val="100"/>
        <c:noMultiLvlLbl val="0"/>
      </c:catAx>
      <c:valAx>
        <c:axId val="194246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783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水平趋势线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图表练习!$B$39</c:f>
              <c:strCache>
                <c:ptCount val="1"/>
                <c:pt idx="0">
                  <c:v>销售额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图表练习!$A$40:$A$51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图表练习!$B$40:$B$51</c:f>
              <c:numCache>
                <c:formatCode>General</c:formatCode>
                <c:ptCount val="12"/>
                <c:pt idx="0">
                  <c:v>382</c:v>
                </c:pt>
                <c:pt idx="1">
                  <c:v>222</c:v>
                </c:pt>
                <c:pt idx="2">
                  <c:v>507</c:v>
                </c:pt>
                <c:pt idx="3">
                  <c:v>582</c:v>
                </c:pt>
                <c:pt idx="4">
                  <c:v>401</c:v>
                </c:pt>
                <c:pt idx="5">
                  <c:v>334</c:v>
                </c:pt>
                <c:pt idx="6">
                  <c:v>510</c:v>
                </c:pt>
                <c:pt idx="7">
                  <c:v>220</c:v>
                </c:pt>
                <c:pt idx="8">
                  <c:v>373</c:v>
                </c:pt>
                <c:pt idx="9">
                  <c:v>439</c:v>
                </c:pt>
                <c:pt idx="10">
                  <c:v>428</c:v>
                </c:pt>
                <c:pt idx="11">
                  <c:v>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1A-CD49-A792-AE900E777DD4}"/>
            </c:ext>
          </c:extLst>
        </c:ser>
        <c:ser>
          <c:idx val="1"/>
          <c:order val="1"/>
          <c:tx>
            <c:strRef>
              <c:f>图表练习!$C$39</c:f>
              <c:strCache>
                <c:ptCount val="1"/>
                <c:pt idx="0">
                  <c:v>最大值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图表练习!$A$40:$A$51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图表练习!$C$40:$C$51</c:f>
              <c:numCache>
                <c:formatCode>General</c:formatCode>
                <c:ptCount val="12"/>
                <c:pt idx="0">
                  <c:v>692</c:v>
                </c:pt>
                <c:pt idx="1">
                  <c:v>692</c:v>
                </c:pt>
                <c:pt idx="2">
                  <c:v>692</c:v>
                </c:pt>
                <c:pt idx="3">
                  <c:v>692</c:v>
                </c:pt>
                <c:pt idx="4">
                  <c:v>692</c:v>
                </c:pt>
                <c:pt idx="5">
                  <c:v>692</c:v>
                </c:pt>
                <c:pt idx="6">
                  <c:v>692</c:v>
                </c:pt>
                <c:pt idx="7">
                  <c:v>692</c:v>
                </c:pt>
                <c:pt idx="8">
                  <c:v>692</c:v>
                </c:pt>
                <c:pt idx="9">
                  <c:v>692</c:v>
                </c:pt>
                <c:pt idx="10">
                  <c:v>692</c:v>
                </c:pt>
                <c:pt idx="11">
                  <c:v>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1A-CD49-A792-AE900E777DD4}"/>
            </c:ext>
          </c:extLst>
        </c:ser>
        <c:ser>
          <c:idx val="2"/>
          <c:order val="2"/>
          <c:tx>
            <c:strRef>
              <c:f>图表练习!$D$39</c:f>
              <c:strCache>
                <c:ptCount val="1"/>
                <c:pt idx="0">
                  <c:v>最小值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图表练习!$A$40:$A$51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图表练习!$D$40:$D$51</c:f>
              <c:numCache>
                <c:formatCode>General</c:formatCode>
                <c:ptCount val="12"/>
                <c:pt idx="0">
                  <c:v>220</c:v>
                </c:pt>
                <c:pt idx="1">
                  <c:v>220</c:v>
                </c:pt>
                <c:pt idx="2">
                  <c:v>220</c:v>
                </c:pt>
                <c:pt idx="3">
                  <c:v>220</c:v>
                </c:pt>
                <c:pt idx="4">
                  <c:v>220</c:v>
                </c:pt>
                <c:pt idx="5">
                  <c:v>220</c:v>
                </c:pt>
                <c:pt idx="6">
                  <c:v>220</c:v>
                </c:pt>
                <c:pt idx="7">
                  <c:v>220</c:v>
                </c:pt>
                <c:pt idx="8">
                  <c:v>220</c:v>
                </c:pt>
                <c:pt idx="9">
                  <c:v>220</c:v>
                </c:pt>
                <c:pt idx="10">
                  <c:v>220</c:v>
                </c:pt>
                <c:pt idx="11">
                  <c:v>220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1A-CD49-A792-AE900E777DD4}"/>
            </c:ext>
          </c:extLst>
        </c:ser>
        <c:ser>
          <c:idx val="3"/>
          <c:order val="3"/>
          <c:tx>
            <c:strRef>
              <c:f>图表练习!$E$39</c:f>
              <c:strCache>
                <c:ptCount val="1"/>
                <c:pt idx="0">
                  <c:v>斜线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图表练习!$A$40:$A$51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图表练习!$E$40:$E$51</c:f>
              <c:numCache>
                <c:formatCode>General</c:formatCode>
                <c:ptCount val="12"/>
                <c:pt idx="0">
                  <c:v>200</c:v>
                </c:pt>
                <c:pt idx="11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1A-CD49-A792-AE900E777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8881343"/>
        <c:axId val="1910715519"/>
      </c:lineChart>
      <c:catAx>
        <c:axId val="192888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10715519"/>
        <c:crosses val="autoZero"/>
        <c:auto val="1"/>
        <c:lblAlgn val="ctr"/>
        <c:lblOffset val="100"/>
        <c:noMultiLvlLbl val="0"/>
      </c:catAx>
      <c:valAx>
        <c:axId val="19107155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8881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面积堆积图表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图表练习!$B$54</c:f>
              <c:strCache>
                <c:ptCount val="1"/>
                <c:pt idx="0">
                  <c:v>销售一部</c:v>
                </c:pt>
              </c:strCache>
            </c:strRef>
          </c:tx>
          <c:spPr>
            <a:solidFill>
              <a:schemeClr val="accent1">
                <a:alpha val="69656"/>
              </a:schemeClr>
            </a:solidFill>
            <a:ln w="15875">
              <a:solidFill>
                <a:schemeClr val="bg1"/>
              </a:solidFill>
            </a:ln>
            <a:effectLst/>
          </c:spPr>
          <c:cat>
            <c:strRef>
              <c:f>图表练习!$A$55:$A$66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图表练习!$B$55:$B$66</c:f>
              <c:numCache>
                <c:formatCode>General</c:formatCode>
                <c:ptCount val="12"/>
                <c:pt idx="0">
                  <c:v>158</c:v>
                </c:pt>
                <c:pt idx="1">
                  <c:v>75</c:v>
                </c:pt>
                <c:pt idx="2">
                  <c:v>141</c:v>
                </c:pt>
                <c:pt idx="3">
                  <c:v>39</c:v>
                </c:pt>
                <c:pt idx="4">
                  <c:v>33</c:v>
                </c:pt>
                <c:pt idx="5">
                  <c:v>108</c:v>
                </c:pt>
                <c:pt idx="6">
                  <c:v>138</c:v>
                </c:pt>
                <c:pt idx="7">
                  <c:v>56</c:v>
                </c:pt>
                <c:pt idx="8">
                  <c:v>99</c:v>
                </c:pt>
                <c:pt idx="9">
                  <c:v>91</c:v>
                </c:pt>
                <c:pt idx="10">
                  <c:v>80</c:v>
                </c:pt>
                <c:pt idx="11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4A-5D47-88DC-929A8AA54EA1}"/>
            </c:ext>
          </c:extLst>
        </c:ser>
        <c:ser>
          <c:idx val="1"/>
          <c:order val="1"/>
          <c:tx>
            <c:strRef>
              <c:f>图表练习!$C$54</c:f>
              <c:strCache>
                <c:ptCount val="1"/>
                <c:pt idx="0">
                  <c:v>销售二部</c:v>
                </c:pt>
              </c:strCache>
            </c:strRef>
          </c:tx>
          <c:spPr>
            <a:solidFill>
              <a:schemeClr val="accent2">
                <a:alpha val="80182"/>
              </a:schemeClr>
            </a:solidFill>
            <a:ln w="12700">
              <a:solidFill>
                <a:schemeClr val="bg1"/>
              </a:solidFill>
            </a:ln>
            <a:effectLst/>
          </c:spPr>
          <c:cat>
            <c:strRef>
              <c:f>图表练习!$A$55:$A$66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图表练习!$C$55:$C$66</c:f>
              <c:numCache>
                <c:formatCode>General</c:formatCode>
                <c:ptCount val="12"/>
                <c:pt idx="0">
                  <c:v>249</c:v>
                </c:pt>
                <c:pt idx="1">
                  <c:v>404</c:v>
                </c:pt>
                <c:pt idx="2">
                  <c:v>119</c:v>
                </c:pt>
                <c:pt idx="3">
                  <c:v>56</c:v>
                </c:pt>
                <c:pt idx="4">
                  <c:v>30</c:v>
                </c:pt>
                <c:pt idx="5">
                  <c:v>145</c:v>
                </c:pt>
                <c:pt idx="6">
                  <c:v>52</c:v>
                </c:pt>
                <c:pt idx="7">
                  <c:v>155</c:v>
                </c:pt>
                <c:pt idx="8">
                  <c:v>102</c:v>
                </c:pt>
                <c:pt idx="9">
                  <c:v>163</c:v>
                </c:pt>
                <c:pt idx="10">
                  <c:v>163</c:v>
                </c:pt>
                <c:pt idx="11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4A-5D47-88DC-929A8AA54EA1}"/>
            </c:ext>
          </c:extLst>
        </c:ser>
        <c:ser>
          <c:idx val="2"/>
          <c:order val="2"/>
          <c:tx>
            <c:strRef>
              <c:f>图表练习!$D$54</c:f>
              <c:strCache>
                <c:ptCount val="1"/>
                <c:pt idx="0">
                  <c:v>销售三部</c:v>
                </c:pt>
              </c:strCache>
            </c:strRef>
          </c:tx>
          <c:spPr>
            <a:solidFill>
              <a:schemeClr val="accent4">
                <a:alpha val="90260"/>
              </a:schemeClr>
            </a:solidFill>
            <a:ln w="12700">
              <a:solidFill>
                <a:schemeClr val="bg1"/>
              </a:solidFill>
            </a:ln>
            <a:effectLst/>
          </c:spPr>
          <c:cat>
            <c:strRef>
              <c:f>图表练习!$A$55:$A$66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图表练习!$D$55:$D$66</c:f>
              <c:numCache>
                <c:formatCode>General</c:formatCode>
                <c:ptCount val="12"/>
                <c:pt idx="0">
                  <c:v>82</c:v>
                </c:pt>
                <c:pt idx="1">
                  <c:v>270</c:v>
                </c:pt>
                <c:pt idx="2">
                  <c:v>226</c:v>
                </c:pt>
                <c:pt idx="3">
                  <c:v>52</c:v>
                </c:pt>
                <c:pt idx="4">
                  <c:v>56</c:v>
                </c:pt>
                <c:pt idx="5">
                  <c:v>63</c:v>
                </c:pt>
                <c:pt idx="6">
                  <c:v>91</c:v>
                </c:pt>
                <c:pt idx="7">
                  <c:v>185</c:v>
                </c:pt>
                <c:pt idx="8">
                  <c:v>105</c:v>
                </c:pt>
                <c:pt idx="9">
                  <c:v>53</c:v>
                </c:pt>
                <c:pt idx="10">
                  <c:v>93</c:v>
                </c:pt>
                <c:pt idx="11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4A-5D47-88DC-929A8AA54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7518335"/>
        <c:axId val="1867514751"/>
      </c:areaChart>
      <c:catAx>
        <c:axId val="18675183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67514751"/>
        <c:crosses val="autoZero"/>
        <c:auto val="1"/>
        <c:lblAlgn val="ctr"/>
        <c:lblOffset val="100"/>
        <c:noMultiLvlLbl val="0"/>
      </c:catAx>
      <c:valAx>
        <c:axId val="186751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675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折线面积图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图表练习!$G$54</c:f>
              <c:strCache>
                <c:ptCount val="1"/>
                <c:pt idx="0">
                  <c:v>销售一部</c:v>
                </c:pt>
              </c:strCache>
            </c:strRef>
          </c:tx>
          <c:spPr>
            <a:gradFill flip="none" rotWithShape="1">
              <a:gsLst>
                <a:gs pos="0">
                  <a:schemeClr val="bg1">
                    <a:alpha val="80000"/>
                  </a:schemeClr>
                </a:gs>
                <a:gs pos="100000">
                  <a:schemeClr val="tx2"/>
                </a:gs>
              </a:gsLst>
              <a:lin ang="16200000" scaled="1"/>
              <a:tileRect/>
            </a:gradFill>
            <a:ln>
              <a:noFill/>
            </a:ln>
            <a:effectLst/>
          </c:spPr>
          <c:cat>
            <c:strRef>
              <c:f>图表练习!$F$55:$F$66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图表练习!$G$55:$G$66</c:f>
              <c:numCache>
                <c:formatCode>General</c:formatCode>
                <c:ptCount val="12"/>
                <c:pt idx="0">
                  <c:v>158</c:v>
                </c:pt>
                <c:pt idx="1">
                  <c:v>75</c:v>
                </c:pt>
                <c:pt idx="2">
                  <c:v>141</c:v>
                </c:pt>
                <c:pt idx="3">
                  <c:v>39</c:v>
                </c:pt>
                <c:pt idx="4">
                  <c:v>33</c:v>
                </c:pt>
                <c:pt idx="5">
                  <c:v>108</c:v>
                </c:pt>
                <c:pt idx="6">
                  <c:v>138</c:v>
                </c:pt>
                <c:pt idx="7">
                  <c:v>56</c:v>
                </c:pt>
                <c:pt idx="8">
                  <c:v>99</c:v>
                </c:pt>
                <c:pt idx="9">
                  <c:v>91</c:v>
                </c:pt>
                <c:pt idx="10">
                  <c:v>80</c:v>
                </c:pt>
                <c:pt idx="11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C2-FB40-9189-4CBACD5A5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6864831"/>
        <c:axId val="1816865279"/>
      </c:areaChart>
      <c:lineChart>
        <c:grouping val="standard"/>
        <c:varyColors val="0"/>
        <c:ser>
          <c:idx val="1"/>
          <c:order val="1"/>
          <c:tx>
            <c:strRef>
              <c:f>图表练习!$H$54</c:f>
              <c:strCache>
                <c:ptCount val="1"/>
                <c:pt idx="0">
                  <c:v>销售一部</c:v>
                </c:pt>
              </c:strCache>
            </c:strRef>
          </c:tx>
          <c:spPr>
            <a:ln w="25400" cap="rnd">
              <a:solidFill>
                <a:schemeClr val="accent4">
                  <a:alpha val="80233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图表练习!$F$55:$F$66</c:f>
              <c:strCache>
                <c:ptCount val="12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  <c:pt idx="9">
                  <c:v>10月</c:v>
                </c:pt>
                <c:pt idx="10">
                  <c:v>11月</c:v>
                </c:pt>
                <c:pt idx="11">
                  <c:v>12月</c:v>
                </c:pt>
              </c:strCache>
            </c:strRef>
          </c:cat>
          <c:val>
            <c:numRef>
              <c:f>图表练习!$H$55:$H$66</c:f>
              <c:numCache>
                <c:formatCode>General</c:formatCode>
                <c:ptCount val="12"/>
                <c:pt idx="0">
                  <c:v>158</c:v>
                </c:pt>
                <c:pt idx="1">
                  <c:v>75</c:v>
                </c:pt>
                <c:pt idx="2">
                  <c:v>141</c:v>
                </c:pt>
                <c:pt idx="3">
                  <c:v>39</c:v>
                </c:pt>
                <c:pt idx="4">
                  <c:v>33</c:v>
                </c:pt>
                <c:pt idx="5">
                  <c:v>108</c:v>
                </c:pt>
                <c:pt idx="6">
                  <c:v>138</c:v>
                </c:pt>
                <c:pt idx="7">
                  <c:v>56</c:v>
                </c:pt>
                <c:pt idx="8">
                  <c:v>99</c:v>
                </c:pt>
                <c:pt idx="9">
                  <c:v>91</c:v>
                </c:pt>
                <c:pt idx="10">
                  <c:v>80</c:v>
                </c:pt>
                <c:pt idx="11">
                  <c:v>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C2-FB40-9189-4CBACD5A5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6864831"/>
        <c:axId val="1816865279"/>
      </c:lineChart>
      <c:catAx>
        <c:axId val="181686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6865279"/>
        <c:crosses val="autoZero"/>
        <c:auto val="1"/>
        <c:lblAlgn val="ctr"/>
        <c:lblOffset val="100"/>
        <c:noMultiLvlLbl val="0"/>
      </c:catAx>
      <c:valAx>
        <c:axId val="1816865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686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3D</a:t>
            </a:r>
            <a:r>
              <a:rPr lang="zh-CN"/>
              <a:t>饼图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图表练习!$K$54</c:f>
              <c:strCache>
                <c:ptCount val="1"/>
                <c:pt idx="0">
                  <c:v>金额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  <a:sp3d>
              <a:bevelT prst="angle"/>
              <a:contourClr>
                <a:srgbClr val="000000"/>
              </a:contourClr>
            </a:sp3d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prst="angle"/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69B-E745-9FCA-4ACDAB2F4A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prst="angle"/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69B-E745-9FCA-4ACDAB2F4A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bevelT prst="angle"/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69B-E745-9FCA-4ACDAB2F4A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图表练习!$J$55:$J$57</c:f>
              <c:strCache>
                <c:ptCount val="3"/>
                <c:pt idx="0">
                  <c:v>一季度</c:v>
                </c:pt>
                <c:pt idx="1">
                  <c:v>二季度</c:v>
                </c:pt>
                <c:pt idx="2">
                  <c:v>三季度</c:v>
                </c:pt>
              </c:strCache>
            </c:strRef>
          </c:cat>
          <c:val>
            <c:numRef>
              <c:f>图表练习!$K$55:$K$57</c:f>
              <c:numCache>
                <c:formatCode>General</c:formatCode>
                <c:ptCount val="3"/>
                <c:pt idx="0">
                  <c:v>1528</c:v>
                </c:pt>
                <c:pt idx="1">
                  <c:v>1325</c:v>
                </c:pt>
                <c:pt idx="2">
                  <c:v>1375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04-4D4B-9EBF-F8C9A80ECED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sz="1400" b="0"/>
              <a:t>复合饼图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图表练习!$K$59</c:f>
              <c:strCache>
                <c:ptCount val="1"/>
                <c:pt idx="0">
                  <c:v>金额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95-7448-99EB-4040D2B92C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95-7448-99EB-4040D2B92C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95-7448-99EB-4040D2B92C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95-7448-99EB-4040D2B92C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95-7448-99EB-4040D2B92C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95-7448-99EB-4040D2B92C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95-7448-99EB-4040D2B92C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95-7448-99EB-4040D2B92C7C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图表练习!$J$60:$J$66</c:f>
              <c:strCache>
                <c:ptCount val="7"/>
                <c:pt idx="0">
                  <c:v>一季度</c:v>
                </c:pt>
                <c:pt idx="1">
                  <c:v>二季度</c:v>
                </c:pt>
                <c:pt idx="2">
                  <c:v>三季度</c:v>
                </c:pt>
                <c:pt idx="3">
                  <c:v>1月</c:v>
                </c:pt>
                <c:pt idx="4">
                  <c:v>2月</c:v>
                </c:pt>
                <c:pt idx="5">
                  <c:v>3月</c:v>
                </c:pt>
                <c:pt idx="6">
                  <c:v>4月</c:v>
                </c:pt>
              </c:strCache>
            </c:strRef>
          </c:cat>
          <c:val>
            <c:numRef>
              <c:f>图表练习!$K$60:$K$66</c:f>
              <c:numCache>
                <c:formatCode>General</c:formatCode>
                <c:ptCount val="7"/>
                <c:pt idx="0">
                  <c:v>1528</c:v>
                </c:pt>
                <c:pt idx="1">
                  <c:v>1325</c:v>
                </c:pt>
                <c:pt idx="2">
                  <c:v>1375</c:v>
                </c:pt>
                <c:pt idx="3">
                  <c:v>559</c:v>
                </c:pt>
                <c:pt idx="4">
                  <c:v>506</c:v>
                </c:pt>
                <c:pt idx="5">
                  <c:v>463</c:v>
                </c:pt>
                <c:pt idx="6">
                  <c:v>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9-A44E-9C7D-04AD93EBE59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1"/>
          <c:order val="1"/>
          <c:tx>
            <c:strRef>
              <c:f>图表练习!$N$46</c:f>
              <c:strCache>
                <c:ptCount val="1"/>
                <c:pt idx="0">
                  <c:v>工作时长(h)\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B1C-B446-BCBE-9C64B06C5F2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B1C-B446-BCBE-9C64B06C5F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B1C-B446-BCBE-9C64B06C5F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B1C-B446-BCBE-9C64B06C5F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B1C-B446-BCBE-9C64B06C5F2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B1C-B446-BCBE-9C64B06C5F2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B1C-B446-BCBE-9C64B06C5F2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CB1C-B446-BCBE-9C64B06C5F2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CB1C-B446-BCBE-9C64B06C5F2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CB1C-B446-BCBE-9C64B06C5F2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CB1C-B446-BCBE-9C64B06C5F2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CB1C-B446-BCBE-9C64B06C5F2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CB1C-B446-BCBE-9C64B06C5F2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CB1C-B446-BCBE-9C64B06C5F2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CB1C-B446-BCBE-9C64B06C5F2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CB1C-B446-BCBE-9C64B06C5F2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CB1C-B446-BCBE-9C64B06C5F2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CB1C-B446-BCBE-9C64B06C5F2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CB1C-B446-BCBE-9C64B06C5F2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CB1C-B446-BCBE-9C64B06C5F2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CB1C-B446-BCBE-9C64B06C5F2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CB1C-B446-BCBE-9C64B06C5F2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CB1C-B446-BCBE-9C64B06C5F2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CB1C-B446-BCBE-9C64B06C5F28}"/>
              </c:ext>
            </c:extLst>
          </c:dPt>
          <c:dLbls>
            <c:dLbl>
              <c:idx val="0"/>
              <c:layout>
                <c:manualLayout>
                  <c:x val="-0.15922601422640648"/>
                  <c:y val="0.12112575658458018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1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zh-CN" altLang="en-US" sz="1100"/>
                      <a:t>工作时长</a:t>
                    </a:r>
                    <a:r>
                      <a:rPr lang="en-US" altLang="zh-CN" sz="1100"/>
                      <a:t>(</a:t>
                    </a:r>
                    <a:r>
                      <a:rPr lang="en" sz="1100"/>
                      <a:t>h)</a:t>
                    </a:r>
                  </a:p>
                  <a:p>
                    <a:pPr defTabSz="914400">
                      <a:defRPr sz="1100"/>
                    </a:pPr>
                    <a:r>
                      <a:rPr lang="en" sz="1100"/>
                      <a:t>8.5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 defTabSz="914400">
                    <a:defRPr lang="zh-CN" sz="11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936445943546999"/>
                      <c:h val="0.1658079625292739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B1C-B446-BCBE-9C64B06C5F2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B1C-B446-BCBE-9C64B06C5F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图表练习!$N$47:$N$70</c:f>
              <c:numCache>
                <c:formatCode>General</c:formatCode>
                <c:ptCount val="24"/>
                <c:pt idx="0">
                  <c:v>8.5</c:v>
                </c:pt>
                <c:pt idx="1">
                  <c:v>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B1C-B446-BCBE-9C64B06C5F28}"/>
            </c:ext>
          </c:extLst>
        </c:ser>
        <c:dLbls>
          <c:showLegendKey val="0"/>
          <c:showVal val="1"/>
          <c:showCatName val="0"/>
          <c:showSerName val="1"/>
          <c:showPercent val="0"/>
          <c:showBubbleSize val="0"/>
          <c:showLeaderLines val="0"/>
        </c:dLbls>
        <c:firstSliceAng val="0"/>
        <c:holeSize val="68"/>
      </c:doughnutChart>
      <c:doughnutChart>
        <c:varyColors val="1"/>
        <c:ser>
          <c:idx val="0"/>
          <c:order val="0"/>
          <c:tx>
            <c:strRef>
              <c:f>图表练习!$M$46</c:f>
              <c:strCache>
                <c:ptCount val="1"/>
                <c:pt idx="0">
                  <c:v>辅助列</c:v>
                </c:pt>
              </c:strCache>
            </c:strRef>
          </c:tx>
          <c:spPr>
            <a:noFill/>
            <a:ln w="34925">
              <a:solidFill>
                <a:schemeClr val="bg1"/>
              </a:solidFill>
            </a:ln>
            <a:sp3d contourW="34925"/>
          </c:spPr>
          <c:dPt>
            <c:idx val="0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2-CB1C-B446-BCBE-9C64B06C5F28}"/>
              </c:ext>
            </c:extLst>
          </c:dPt>
          <c:dPt>
            <c:idx val="1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4-CB1C-B446-BCBE-9C64B06C5F28}"/>
              </c:ext>
            </c:extLst>
          </c:dPt>
          <c:dPt>
            <c:idx val="2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6-CB1C-B446-BCBE-9C64B06C5F28}"/>
              </c:ext>
            </c:extLst>
          </c:dPt>
          <c:dPt>
            <c:idx val="3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CB1C-B446-BCBE-9C64B06C5F28}"/>
              </c:ext>
            </c:extLst>
          </c:dPt>
          <c:dPt>
            <c:idx val="4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CB1C-B446-BCBE-9C64B06C5F28}"/>
              </c:ext>
            </c:extLst>
          </c:dPt>
          <c:dPt>
            <c:idx val="5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C-CB1C-B446-BCBE-9C64B06C5F28}"/>
              </c:ext>
            </c:extLst>
          </c:dPt>
          <c:dPt>
            <c:idx val="6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E-CB1C-B446-BCBE-9C64B06C5F28}"/>
              </c:ext>
            </c:extLst>
          </c:dPt>
          <c:dPt>
            <c:idx val="7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0-CB1C-B446-BCBE-9C64B06C5F28}"/>
              </c:ext>
            </c:extLst>
          </c:dPt>
          <c:dPt>
            <c:idx val="8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2-CB1C-B446-BCBE-9C64B06C5F28}"/>
              </c:ext>
            </c:extLst>
          </c:dPt>
          <c:dPt>
            <c:idx val="9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4-CB1C-B446-BCBE-9C64B06C5F28}"/>
              </c:ext>
            </c:extLst>
          </c:dPt>
          <c:dPt>
            <c:idx val="10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6-CB1C-B446-BCBE-9C64B06C5F28}"/>
              </c:ext>
            </c:extLst>
          </c:dPt>
          <c:dPt>
            <c:idx val="11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8-CB1C-B446-BCBE-9C64B06C5F28}"/>
              </c:ext>
            </c:extLst>
          </c:dPt>
          <c:dPt>
            <c:idx val="12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A-CB1C-B446-BCBE-9C64B06C5F28}"/>
              </c:ext>
            </c:extLst>
          </c:dPt>
          <c:dPt>
            <c:idx val="13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C-CB1C-B446-BCBE-9C64B06C5F28}"/>
              </c:ext>
            </c:extLst>
          </c:dPt>
          <c:dPt>
            <c:idx val="14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E-CB1C-B446-BCBE-9C64B06C5F28}"/>
              </c:ext>
            </c:extLst>
          </c:dPt>
          <c:dPt>
            <c:idx val="15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0-CB1C-B446-BCBE-9C64B06C5F28}"/>
              </c:ext>
            </c:extLst>
          </c:dPt>
          <c:dPt>
            <c:idx val="16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2-CB1C-B446-BCBE-9C64B06C5F28}"/>
              </c:ext>
            </c:extLst>
          </c:dPt>
          <c:dPt>
            <c:idx val="17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4-CB1C-B446-BCBE-9C64B06C5F28}"/>
              </c:ext>
            </c:extLst>
          </c:dPt>
          <c:dPt>
            <c:idx val="18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6-CB1C-B446-BCBE-9C64B06C5F28}"/>
              </c:ext>
            </c:extLst>
          </c:dPt>
          <c:dPt>
            <c:idx val="19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8-CB1C-B446-BCBE-9C64B06C5F28}"/>
              </c:ext>
            </c:extLst>
          </c:dPt>
          <c:dPt>
            <c:idx val="20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A-CB1C-B446-BCBE-9C64B06C5F28}"/>
              </c:ext>
            </c:extLst>
          </c:dPt>
          <c:dPt>
            <c:idx val="21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C-CB1C-B446-BCBE-9C64B06C5F28}"/>
              </c:ext>
            </c:extLst>
          </c:dPt>
          <c:dPt>
            <c:idx val="22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E-CB1C-B446-BCBE-9C64B06C5F28}"/>
              </c:ext>
            </c:extLst>
          </c:dPt>
          <c:dPt>
            <c:idx val="23"/>
            <c:bubble3D val="0"/>
            <c:spPr>
              <a:noFill/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0-CB1C-B446-BCBE-9C64B06C5F28}"/>
              </c:ext>
            </c:extLst>
          </c:dPt>
          <c:val>
            <c:numRef>
              <c:f>图表练习!$M$47:$M$70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1-CB1C-B446-BCBE-9C64B06C5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9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堆积柱形图显示总计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图表练习!$B$69</c:f>
              <c:strCache>
                <c:ptCount val="1"/>
                <c:pt idx="0">
                  <c:v>销售一部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图表练习!$A$70:$A$78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图表练习!$B$70:$B$78</c:f>
              <c:numCache>
                <c:formatCode>General</c:formatCode>
                <c:ptCount val="9"/>
                <c:pt idx="0">
                  <c:v>158</c:v>
                </c:pt>
                <c:pt idx="1">
                  <c:v>75</c:v>
                </c:pt>
                <c:pt idx="2">
                  <c:v>141</c:v>
                </c:pt>
                <c:pt idx="3">
                  <c:v>39</c:v>
                </c:pt>
                <c:pt idx="4">
                  <c:v>33</c:v>
                </c:pt>
                <c:pt idx="5">
                  <c:v>108</c:v>
                </c:pt>
                <c:pt idx="6">
                  <c:v>138</c:v>
                </c:pt>
                <c:pt idx="7">
                  <c:v>56</c:v>
                </c:pt>
                <c:pt idx="8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C0-2C46-84F2-AFACCC73F0EB}"/>
            </c:ext>
          </c:extLst>
        </c:ser>
        <c:ser>
          <c:idx val="1"/>
          <c:order val="1"/>
          <c:tx>
            <c:strRef>
              <c:f>图表练习!$C$69</c:f>
              <c:strCache>
                <c:ptCount val="1"/>
                <c:pt idx="0">
                  <c:v>销售二部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图表练习!$A$70:$A$78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图表练习!$C$70:$C$78</c:f>
              <c:numCache>
                <c:formatCode>General</c:formatCode>
                <c:ptCount val="9"/>
                <c:pt idx="0">
                  <c:v>249</c:v>
                </c:pt>
                <c:pt idx="1">
                  <c:v>404</c:v>
                </c:pt>
                <c:pt idx="2">
                  <c:v>119</c:v>
                </c:pt>
                <c:pt idx="3">
                  <c:v>56</c:v>
                </c:pt>
                <c:pt idx="4">
                  <c:v>30</c:v>
                </c:pt>
                <c:pt idx="5">
                  <c:v>145</c:v>
                </c:pt>
                <c:pt idx="6">
                  <c:v>52</c:v>
                </c:pt>
                <c:pt idx="7">
                  <c:v>155</c:v>
                </c:pt>
                <c:pt idx="8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C0-2C46-84F2-AFACCC73F0EB}"/>
            </c:ext>
          </c:extLst>
        </c:ser>
        <c:ser>
          <c:idx val="2"/>
          <c:order val="2"/>
          <c:tx>
            <c:strRef>
              <c:f>图表练习!$D$69</c:f>
              <c:strCache>
                <c:ptCount val="1"/>
                <c:pt idx="0">
                  <c:v>销售三部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图表练习!$A$70:$A$78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图表练习!$D$70:$D$78</c:f>
              <c:numCache>
                <c:formatCode>General</c:formatCode>
                <c:ptCount val="9"/>
                <c:pt idx="0">
                  <c:v>82</c:v>
                </c:pt>
                <c:pt idx="1">
                  <c:v>270</c:v>
                </c:pt>
                <c:pt idx="2">
                  <c:v>226</c:v>
                </c:pt>
                <c:pt idx="3">
                  <c:v>52</c:v>
                </c:pt>
                <c:pt idx="4">
                  <c:v>56</c:v>
                </c:pt>
                <c:pt idx="5">
                  <c:v>63</c:v>
                </c:pt>
                <c:pt idx="6">
                  <c:v>91</c:v>
                </c:pt>
                <c:pt idx="7">
                  <c:v>185</c:v>
                </c:pt>
                <c:pt idx="8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C0-2C46-84F2-AFACCC73F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786883007"/>
        <c:axId val="1786881663"/>
      </c:barChart>
      <c:lineChart>
        <c:grouping val="standard"/>
        <c:varyColors val="0"/>
        <c:ser>
          <c:idx val="3"/>
          <c:order val="3"/>
          <c:tx>
            <c:strRef>
              <c:f>图表练习!$E$69</c:f>
              <c:strCache>
                <c:ptCount val="1"/>
                <c:pt idx="0">
                  <c:v>总计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numFmt formatCode="&quot;总计:&quot;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图表练习!$A$70:$A$78</c:f>
              <c:strCache>
                <c:ptCount val="9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  <c:pt idx="6">
                  <c:v>7月</c:v>
                </c:pt>
                <c:pt idx="7">
                  <c:v>8月</c:v>
                </c:pt>
                <c:pt idx="8">
                  <c:v>9月</c:v>
                </c:pt>
              </c:strCache>
            </c:strRef>
          </c:cat>
          <c:val>
            <c:numRef>
              <c:f>图表练习!$E$70:$E$78</c:f>
              <c:numCache>
                <c:formatCode>General</c:formatCode>
                <c:ptCount val="9"/>
                <c:pt idx="0">
                  <c:v>489</c:v>
                </c:pt>
                <c:pt idx="1">
                  <c:v>749</c:v>
                </c:pt>
                <c:pt idx="2">
                  <c:v>486</c:v>
                </c:pt>
                <c:pt idx="3">
                  <c:v>147</c:v>
                </c:pt>
                <c:pt idx="4">
                  <c:v>119</c:v>
                </c:pt>
                <c:pt idx="5">
                  <c:v>316</c:v>
                </c:pt>
                <c:pt idx="6">
                  <c:v>281</c:v>
                </c:pt>
                <c:pt idx="7">
                  <c:v>396</c:v>
                </c:pt>
                <c:pt idx="8">
                  <c:v>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C0-2C46-84F2-AFACCC73F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6883007"/>
        <c:axId val="1786881663"/>
      </c:lineChart>
      <c:catAx>
        <c:axId val="178688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86881663"/>
        <c:crosses val="autoZero"/>
        <c:auto val="1"/>
        <c:lblAlgn val="ctr"/>
        <c:lblOffset val="100"/>
        <c:noMultiLvlLbl val="0"/>
      </c:catAx>
      <c:valAx>
        <c:axId val="178688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8688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堆积条形甘特图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图表练习!$H$69</c:f>
              <c:strCache>
                <c:ptCount val="1"/>
                <c:pt idx="0">
                  <c:v>计划开始日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图表练习!$G$70:$G$77</c:f>
              <c:strCache>
                <c:ptCount val="8"/>
                <c:pt idx="0">
                  <c:v>项目确定</c:v>
                </c:pt>
                <c:pt idx="1">
                  <c:v>问卷设计</c:v>
                </c:pt>
                <c:pt idx="2">
                  <c:v>试访</c:v>
                </c:pt>
                <c:pt idx="3">
                  <c:v>问卷确定</c:v>
                </c:pt>
                <c:pt idx="4">
                  <c:v>实地执行</c:v>
                </c:pt>
                <c:pt idx="5">
                  <c:v>数据录入</c:v>
                </c:pt>
                <c:pt idx="6">
                  <c:v>数据分析</c:v>
                </c:pt>
                <c:pt idx="7">
                  <c:v>报告提交</c:v>
                </c:pt>
              </c:strCache>
            </c:strRef>
          </c:cat>
          <c:val>
            <c:numRef>
              <c:f>图表练习!$H$70:$H$77</c:f>
              <c:numCache>
                <c:formatCode>m/d/yy</c:formatCode>
                <c:ptCount val="8"/>
                <c:pt idx="0">
                  <c:v>41760</c:v>
                </c:pt>
                <c:pt idx="1">
                  <c:v>41763</c:v>
                </c:pt>
                <c:pt idx="2">
                  <c:v>41765</c:v>
                </c:pt>
                <c:pt idx="3">
                  <c:v>41767</c:v>
                </c:pt>
                <c:pt idx="4">
                  <c:v>41768</c:v>
                </c:pt>
                <c:pt idx="5">
                  <c:v>41778</c:v>
                </c:pt>
                <c:pt idx="6">
                  <c:v>41782</c:v>
                </c:pt>
                <c:pt idx="7">
                  <c:v>41785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39-6A47-AECD-B8CDC3A3F9B2}"/>
            </c:ext>
          </c:extLst>
        </c:ser>
        <c:ser>
          <c:idx val="1"/>
          <c:order val="1"/>
          <c:tx>
            <c:strRef>
              <c:f>图表练习!$I$69</c:f>
              <c:strCache>
                <c:ptCount val="1"/>
                <c:pt idx="0">
                  <c:v>天数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图表练习!$G$70:$G$77</c:f>
              <c:strCache>
                <c:ptCount val="8"/>
                <c:pt idx="0">
                  <c:v>项目确定</c:v>
                </c:pt>
                <c:pt idx="1">
                  <c:v>问卷设计</c:v>
                </c:pt>
                <c:pt idx="2">
                  <c:v>试访</c:v>
                </c:pt>
                <c:pt idx="3">
                  <c:v>问卷确定</c:v>
                </c:pt>
                <c:pt idx="4">
                  <c:v>实地执行</c:v>
                </c:pt>
                <c:pt idx="5">
                  <c:v>数据录入</c:v>
                </c:pt>
                <c:pt idx="6">
                  <c:v>数据分析</c:v>
                </c:pt>
                <c:pt idx="7">
                  <c:v>报告提交</c:v>
                </c:pt>
              </c:strCache>
            </c:strRef>
          </c:cat>
          <c:val>
            <c:numRef>
              <c:f>图表练习!$I$70:$I$77</c:f>
              <c:numCache>
                <c:formatCode>General</c:formatCode>
                <c:ptCount val="8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10</c:v>
                </c:pt>
                <c:pt idx="5">
                  <c:v>5</c:v>
                </c:pt>
                <c:pt idx="6">
                  <c:v>3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39-6A47-AECD-B8CDC3A3F9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75209280"/>
        <c:axId val="75208384"/>
      </c:barChart>
      <c:catAx>
        <c:axId val="752092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208384"/>
        <c:crosses val="autoZero"/>
        <c:auto val="1"/>
        <c:lblAlgn val="ctr"/>
        <c:lblOffset val="100"/>
        <c:noMultiLvlLbl val="0"/>
      </c:catAx>
      <c:valAx>
        <c:axId val="75208384"/>
        <c:scaling>
          <c:orientation val="minMax"/>
          <c:max val="41790"/>
          <c:min val="4176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20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分层图表</a:t>
            </a:r>
          </a:p>
        </c:rich>
      </c:tx>
      <c:layout>
        <c:manualLayout>
          <c:xMode val="edge"/>
          <c:yMode val="edge"/>
          <c:x val="0.05"/>
          <c:y val="3.59364201796820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图表练习!$M$73</c:f>
              <c:strCache>
                <c:ptCount val="1"/>
                <c:pt idx="0">
                  <c:v>营业额（万）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图表练习!$L$74:$L$78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图表练习!$M$74:$M$78</c:f>
              <c:numCache>
                <c:formatCode>General</c:formatCode>
                <c:ptCount val="5"/>
                <c:pt idx="0">
                  <c:v>76</c:v>
                </c:pt>
                <c:pt idx="1">
                  <c:v>88</c:v>
                </c:pt>
                <c:pt idx="2">
                  <c:v>85</c:v>
                </c:pt>
                <c:pt idx="3">
                  <c:v>89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AA-C347-932B-A8A14B612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3967359"/>
        <c:axId val="2143961983"/>
      </c:barChart>
      <c:lineChart>
        <c:grouping val="standard"/>
        <c:varyColors val="0"/>
        <c:ser>
          <c:idx val="1"/>
          <c:order val="1"/>
          <c:tx>
            <c:strRef>
              <c:f>图表练习!$N$73</c:f>
              <c:strCache>
                <c:ptCount val="1"/>
                <c:pt idx="0">
                  <c:v>指标完成度</c:v>
                </c:pt>
              </c:strCache>
            </c:strRef>
          </c:tx>
          <c:spPr>
            <a:ln w="41275" cap="rnd">
              <a:solidFill>
                <a:schemeClr val="bg1">
                  <a:lumMod val="65000"/>
                </a:schemeClr>
              </a:solidFill>
              <a:round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:spPr>
          <c:marker>
            <c:symbol val="square"/>
            <c:size val="10"/>
            <c:spPr>
              <a:solidFill>
                <a:schemeClr val="bg1">
                  <a:lumMod val="65000"/>
                </a:schemeClr>
              </a:solidFill>
              <a:ln w="9525">
                <a:noFill/>
              </a:ln>
              <a:effectLst>
                <a:outerShdw blurRad="63500" sx="102000" sy="102000" algn="ctr" rotWithShape="0">
                  <a:prstClr val="black">
                    <a:alpha val="40000"/>
                  </a:prst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图表练习!$L$74:$L$78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图表练习!$N$74:$N$78</c:f>
              <c:numCache>
                <c:formatCode>0.0%</c:formatCode>
                <c:ptCount val="5"/>
                <c:pt idx="0">
                  <c:v>0.85699999999999998</c:v>
                </c:pt>
                <c:pt idx="1">
                  <c:v>0.89200000000000002</c:v>
                </c:pt>
                <c:pt idx="2">
                  <c:v>0.86399999999999999</c:v>
                </c:pt>
                <c:pt idx="3">
                  <c:v>0.95</c:v>
                </c:pt>
                <c:pt idx="4">
                  <c:v>0.92600000000000005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A-C347-932B-A8A14B612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4025023"/>
        <c:axId val="2144022335"/>
      </c:lineChart>
      <c:catAx>
        <c:axId val="214396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43961983"/>
        <c:crosses val="autoZero"/>
        <c:auto val="1"/>
        <c:lblAlgn val="ctr"/>
        <c:lblOffset val="100"/>
        <c:noMultiLvlLbl val="0"/>
      </c:catAx>
      <c:valAx>
        <c:axId val="2143961983"/>
        <c:scaling>
          <c:orientation val="minMax"/>
          <c:max val="140"/>
          <c:min val="6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43967359"/>
        <c:crosses val="autoZero"/>
        <c:crossBetween val="between"/>
        <c:majorUnit val="20"/>
      </c:valAx>
      <c:valAx>
        <c:axId val="2144022335"/>
        <c:scaling>
          <c:orientation val="minMax"/>
          <c:max val="1.05"/>
          <c:min val="0.65000000000000013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44025023"/>
        <c:crosses val="max"/>
        <c:crossBetween val="between"/>
      </c:valAx>
      <c:catAx>
        <c:axId val="21440250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440223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66666666666666E-2"/>
          <c:y val="9.1762375591095346E-2"/>
          <c:w val="0.49"/>
          <c:h val="4.5178035645717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一图变两图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图表练习!$B$81</c:f>
              <c:strCache>
                <c:ptCount val="1"/>
                <c:pt idx="0">
                  <c:v>营业额（万）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图表练习!$A$82:$A$86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图表练习!$B$82:$B$86</c:f>
              <c:numCache>
                <c:formatCode>General</c:formatCode>
                <c:ptCount val="5"/>
                <c:pt idx="0">
                  <c:v>76</c:v>
                </c:pt>
                <c:pt idx="1">
                  <c:v>88</c:v>
                </c:pt>
                <c:pt idx="2">
                  <c:v>85</c:v>
                </c:pt>
                <c:pt idx="3">
                  <c:v>89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EE49-A3AC-0104EFE85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396800"/>
        <c:axId val="24821056"/>
      </c:barChart>
      <c:barChart>
        <c:barDir val="col"/>
        <c:grouping val="clustered"/>
        <c:varyColors val="0"/>
        <c:ser>
          <c:idx val="1"/>
          <c:order val="1"/>
          <c:tx>
            <c:strRef>
              <c:f>图表练习!$C$81</c:f>
              <c:strCache>
                <c:ptCount val="1"/>
                <c:pt idx="0">
                  <c:v>指标完成度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图表练习!$A$82:$A$86</c:f>
              <c:strCache>
                <c:ptCount val="5"/>
                <c:pt idx="0">
                  <c:v>北京</c:v>
                </c:pt>
                <c:pt idx="1">
                  <c:v>上海</c:v>
                </c:pt>
                <c:pt idx="2">
                  <c:v>广州</c:v>
                </c:pt>
                <c:pt idx="3">
                  <c:v>深圳</c:v>
                </c:pt>
                <c:pt idx="4">
                  <c:v>成都</c:v>
                </c:pt>
              </c:strCache>
            </c:strRef>
          </c:cat>
          <c:val>
            <c:numRef>
              <c:f>图表练习!$C$82:$C$86</c:f>
              <c:numCache>
                <c:formatCode>0.0%</c:formatCode>
                <c:ptCount val="5"/>
                <c:pt idx="0">
                  <c:v>0.85699999999999998</c:v>
                </c:pt>
                <c:pt idx="1">
                  <c:v>0.89200000000000002</c:v>
                </c:pt>
                <c:pt idx="2">
                  <c:v>0.86399999999999999</c:v>
                </c:pt>
                <c:pt idx="3">
                  <c:v>0.95</c:v>
                </c:pt>
                <c:pt idx="4">
                  <c:v>0.92600000000000005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EE49-A3AC-0104EFE85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4553727"/>
        <c:axId val="2044545663"/>
      </c:barChart>
      <c:catAx>
        <c:axId val="9039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4821056"/>
        <c:crosses val="autoZero"/>
        <c:auto val="1"/>
        <c:lblAlgn val="ctr"/>
        <c:lblOffset val="100"/>
        <c:noMultiLvlLbl val="0"/>
      </c:catAx>
      <c:valAx>
        <c:axId val="24821056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396800"/>
        <c:crosses val="autoZero"/>
        <c:crossBetween val="between"/>
      </c:valAx>
      <c:valAx>
        <c:axId val="2044545663"/>
        <c:scaling>
          <c:orientation val="minMax"/>
          <c:min val="0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4553727"/>
        <c:crosses val="max"/>
        <c:crossBetween val="between"/>
      </c:valAx>
      <c:catAx>
        <c:axId val="2044553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4545663"/>
        <c:crossesAt val="0.60000000000000009"/>
        <c:auto val="1"/>
        <c:lblAlgn val="ctr"/>
        <c:lblOffset val="100"/>
        <c:noMultiLvlLbl val="0"/>
      </c:catAx>
      <c:spPr>
        <a:pattFill prst="ltDnDiag">
          <a:fgClr>
            <a:schemeClr val="bg1">
              <a:lumMod val="75000"/>
            </a:schemeClr>
          </a:fgClr>
          <a:bgClr>
            <a:schemeClr val="bg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旋风图</a:t>
            </a:r>
          </a:p>
        </c:rich>
      </c:tx>
      <c:layout>
        <c:manualLayout>
          <c:xMode val="edge"/>
          <c:yMode val="edge"/>
          <c:x val="4.7586206896551721E-2"/>
          <c:y val="1.38856725880860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图表练习!$H$83</c:f>
              <c:strCache>
                <c:ptCount val="1"/>
                <c:pt idx="0">
                  <c:v>出口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图表练习!$G$84:$G$89</c:f>
              <c:strCache>
                <c:ptCount val="6"/>
                <c:pt idx="0">
                  <c:v>2011年</c:v>
                </c:pt>
                <c:pt idx="1">
                  <c:v>2010年</c:v>
                </c:pt>
                <c:pt idx="2">
                  <c:v>2009年</c:v>
                </c:pt>
                <c:pt idx="3">
                  <c:v>2008年</c:v>
                </c:pt>
                <c:pt idx="4">
                  <c:v>2007年</c:v>
                </c:pt>
                <c:pt idx="5">
                  <c:v>2006年</c:v>
                </c:pt>
              </c:strCache>
            </c:strRef>
          </c:cat>
          <c:val>
            <c:numRef>
              <c:f>图表练习!$H$84:$H$89</c:f>
              <c:numCache>
                <c:formatCode>0%</c:formatCode>
                <c:ptCount val="6"/>
                <c:pt idx="0">
                  <c:v>0.32</c:v>
                </c:pt>
                <c:pt idx="1">
                  <c:v>0.55000000000000004</c:v>
                </c:pt>
                <c:pt idx="2">
                  <c:v>0.6</c:v>
                </c:pt>
                <c:pt idx="3">
                  <c:v>0.73</c:v>
                </c:pt>
                <c:pt idx="4">
                  <c:v>0.82</c:v>
                </c:pt>
                <c:pt idx="5">
                  <c:v>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A-9046-BF3C-2CB81ACB1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9197312"/>
        <c:axId val="109191488"/>
      </c:barChart>
      <c:barChart>
        <c:barDir val="bar"/>
        <c:grouping val="clustered"/>
        <c:varyColors val="0"/>
        <c:ser>
          <c:idx val="1"/>
          <c:order val="1"/>
          <c:tx>
            <c:strRef>
              <c:f>图表练习!$I$83</c:f>
              <c:strCache>
                <c:ptCount val="1"/>
                <c:pt idx="0">
                  <c:v>内销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图表练习!$G$84:$G$89</c:f>
              <c:strCache>
                <c:ptCount val="6"/>
                <c:pt idx="0">
                  <c:v>2011年</c:v>
                </c:pt>
                <c:pt idx="1">
                  <c:v>2010年</c:v>
                </c:pt>
                <c:pt idx="2">
                  <c:v>2009年</c:v>
                </c:pt>
                <c:pt idx="3">
                  <c:v>2008年</c:v>
                </c:pt>
                <c:pt idx="4">
                  <c:v>2007年</c:v>
                </c:pt>
                <c:pt idx="5">
                  <c:v>2006年</c:v>
                </c:pt>
              </c:strCache>
            </c:strRef>
          </c:cat>
          <c:val>
            <c:numRef>
              <c:f>图表练习!$I$84:$I$89</c:f>
              <c:numCache>
                <c:formatCode>0%</c:formatCode>
                <c:ptCount val="6"/>
                <c:pt idx="0">
                  <c:v>0.67999999999999994</c:v>
                </c:pt>
                <c:pt idx="1">
                  <c:v>0.44999999999999996</c:v>
                </c:pt>
                <c:pt idx="2">
                  <c:v>0.4</c:v>
                </c:pt>
                <c:pt idx="3">
                  <c:v>0.27</c:v>
                </c:pt>
                <c:pt idx="4">
                  <c:v>0.18000000000000005</c:v>
                </c:pt>
                <c:pt idx="5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FA-9046-BF3C-2CB81ACB1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60064640"/>
        <c:axId val="62772480"/>
      </c:barChart>
      <c:catAx>
        <c:axId val="109197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1488"/>
        <c:crosses val="autoZero"/>
        <c:auto val="1"/>
        <c:lblAlgn val="ctr"/>
        <c:lblOffset val="100"/>
        <c:noMultiLvlLbl val="0"/>
      </c:catAx>
      <c:valAx>
        <c:axId val="109191488"/>
        <c:scaling>
          <c:orientation val="minMax"/>
          <c:min val="-1"/>
        </c:scaling>
        <c:delete val="0"/>
        <c:axPos val="b"/>
        <c:numFmt formatCode="0%;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7312"/>
        <c:crosses val="autoZero"/>
        <c:crossBetween val="between"/>
        <c:majorUnit val="0.2"/>
      </c:valAx>
      <c:valAx>
        <c:axId val="62772480"/>
        <c:scaling>
          <c:orientation val="maxMin"/>
          <c:max val="1"/>
          <c:min val="-1"/>
        </c:scaling>
        <c:delete val="1"/>
        <c:axPos val="t"/>
        <c:numFmt formatCode="0%" sourceLinked="1"/>
        <c:majorTickMark val="out"/>
        <c:minorTickMark val="none"/>
        <c:tickLblPos val="nextTo"/>
        <c:crossAx val="60064640"/>
        <c:crosses val="max"/>
        <c:crossBetween val="between"/>
        <c:majorUnit val="0.2"/>
      </c:valAx>
      <c:catAx>
        <c:axId val="60064640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62772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0804344284550646E-2"/>
          <c:y val="7.2797442587117289E-2"/>
          <c:w val="0.18459820798262283"/>
          <c:h val="4.6850915328229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动态标记销售额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图表练习!$M$87</c:f>
              <c:strCache>
                <c:ptCount val="1"/>
                <c:pt idx="0">
                  <c:v>销售额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图表练习!$L$88:$L$96</c:f>
              <c:strCache>
                <c:ptCount val="9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  <c:pt idx="3">
                  <c:v>四月</c:v>
                </c:pt>
                <c:pt idx="4">
                  <c:v>五月</c:v>
                </c:pt>
                <c:pt idx="5">
                  <c:v>六月</c:v>
                </c:pt>
                <c:pt idx="6">
                  <c:v>七月</c:v>
                </c:pt>
                <c:pt idx="7">
                  <c:v>八月</c:v>
                </c:pt>
                <c:pt idx="8">
                  <c:v>九月</c:v>
                </c:pt>
              </c:strCache>
            </c:strRef>
          </c:cat>
          <c:val>
            <c:numRef>
              <c:f>图表练习!$M$88:$M$96</c:f>
              <c:numCache>
                <c:formatCode>General</c:formatCode>
                <c:ptCount val="9"/>
                <c:pt idx="0">
                  <c:v>26</c:v>
                </c:pt>
                <c:pt idx="1">
                  <c:v>23</c:v>
                </c:pt>
                <c:pt idx="2">
                  <c:v>21</c:v>
                </c:pt>
                <c:pt idx="3">
                  <c:v>37</c:v>
                </c:pt>
                <c:pt idx="4">
                  <c:v>39</c:v>
                </c:pt>
                <c:pt idx="5">
                  <c:v>28</c:v>
                </c:pt>
                <c:pt idx="6">
                  <c:v>33</c:v>
                </c:pt>
                <c:pt idx="7">
                  <c:v>35</c:v>
                </c:pt>
                <c:pt idx="8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8D-2D45-9F98-9FDDF593B104}"/>
            </c:ext>
          </c:extLst>
        </c:ser>
        <c:ser>
          <c:idx val="1"/>
          <c:order val="1"/>
          <c:tx>
            <c:strRef>
              <c:f>图表练习!$N$87</c:f>
              <c:strCache>
                <c:ptCount val="1"/>
                <c:pt idx="0">
                  <c:v>最大值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noFill/>
              <a:ln w="19050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FF0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图表练习!$L$88:$L$96</c:f>
              <c:strCache>
                <c:ptCount val="9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  <c:pt idx="3">
                  <c:v>四月</c:v>
                </c:pt>
                <c:pt idx="4">
                  <c:v>五月</c:v>
                </c:pt>
                <c:pt idx="5">
                  <c:v>六月</c:v>
                </c:pt>
                <c:pt idx="6">
                  <c:v>七月</c:v>
                </c:pt>
                <c:pt idx="7">
                  <c:v>八月</c:v>
                </c:pt>
                <c:pt idx="8">
                  <c:v>九月</c:v>
                </c:pt>
              </c:strCache>
            </c:strRef>
          </c:cat>
          <c:val>
            <c:numRef>
              <c:f>图表练习!$N$88:$N$96</c:f>
              <c:numCache>
                <c:formatCode>General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39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8D-2D45-9F98-9FDDF593B104}"/>
            </c:ext>
          </c:extLst>
        </c:ser>
        <c:ser>
          <c:idx val="2"/>
          <c:order val="2"/>
          <c:tx>
            <c:strRef>
              <c:f>图表练习!$O$87</c:f>
              <c:strCache>
                <c:ptCount val="1"/>
                <c:pt idx="0">
                  <c:v>最小值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8"/>
            <c:spPr>
              <a:noFill/>
              <a:ln w="19050">
                <a:solidFill>
                  <a:srgbClr val="FFC000"/>
                </a:solidFill>
              </a:ln>
              <a:effectLst/>
            </c:spPr>
          </c:marker>
          <c:dLbls>
            <c:spPr>
              <a:solidFill>
                <a:srgbClr val="FFC0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图表练习!$L$88:$L$96</c:f>
              <c:strCache>
                <c:ptCount val="9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  <c:pt idx="3">
                  <c:v>四月</c:v>
                </c:pt>
                <c:pt idx="4">
                  <c:v>五月</c:v>
                </c:pt>
                <c:pt idx="5">
                  <c:v>六月</c:v>
                </c:pt>
                <c:pt idx="6">
                  <c:v>七月</c:v>
                </c:pt>
                <c:pt idx="7">
                  <c:v>八月</c:v>
                </c:pt>
                <c:pt idx="8">
                  <c:v>九月</c:v>
                </c:pt>
              </c:strCache>
            </c:strRef>
          </c:cat>
          <c:val>
            <c:numRef>
              <c:f>图表练习!$O$88:$O$96</c:f>
              <c:numCache>
                <c:formatCode>General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21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8D-2D45-9F98-9FDDF593B10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84985600"/>
        <c:axId val="1484983808"/>
      </c:lineChart>
      <c:catAx>
        <c:axId val="148498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84983808"/>
        <c:crosses val="autoZero"/>
        <c:auto val="1"/>
        <c:lblAlgn val="ctr"/>
        <c:lblOffset val="100"/>
        <c:noMultiLvlLbl val="0"/>
      </c:catAx>
      <c:valAx>
        <c:axId val="1484983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8498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误差线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图表练习!$B$101</c:f>
              <c:strCache>
                <c:ptCount val="1"/>
                <c:pt idx="0">
                  <c:v>销售额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errBars>
            <c:errDir val="y"/>
            <c:errBarType val="both"/>
            <c:errValType val="percentage"/>
            <c:noEndCap val="0"/>
            <c:val val="10"/>
            <c:spPr>
              <a:noFill/>
              <a:ln w="1587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>
                <a:outerShdw blurRad="63500" sx="102000" sy="102000" algn="ctr" rotWithShape="0">
                  <a:prstClr val="black">
                    <a:alpha val="40000"/>
                  </a:prstClr>
                </a:outerShdw>
              </a:effectLst>
            </c:spPr>
          </c:errBars>
          <c:cat>
            <c:strRef>
              <c:f>图表练习!$A$102:$A$110</c:f>
              <c:strCache>
                <c:ptCount val="9"/>
                <c:pt idx="0">
                  <c:v>一月</c:v>
                </c:pt>
                <c:pt idx="1">
                  <c:v>二月</c:v>
                </c:pt>
                <c:pt idx="2">
                  <c:v>三月</c:v>
                </c:pt>
                <c:pt idx="3">
                  <c:v>四月</c:v>
                </c:pt>
                <c:pt idx="4">
                  <c:v>五月</c:v>
                </c:pt>
                <c:pt idx="5">
                  <c:v>六月</c:v>
                </c:pt>
                <c:pt idx="6">
                  <c:v>七月</c:v>
                </c:pt>
                <c:pt idx="7">
                  <c:v>八月</c:v>
                </c:pt>
                <c:pt idx="8">
                  <c:v>九月</c:v>
                </c:pt>
              </c:strCache>
            </c:strRef>
          </c:cat>
          <c:val>
            <c:numRef>
              <c:f>图表练习!$B$102:$B$110</c:f>
              <c:numCache>
                <c:formatCode>General</c:formatCode>
                <c:ptCount val="9"/>
                <c:pt idx="0">
                  <c:v>26</c:v>
                </c:pt>
                <c:pt idx="1">
                  <c:v>23</c:v>
                </c:pt>
                <c:pt idx="2">
                  <c:v>21</c:v>
                </c:pt>
                <c:pt idx="3">
                  <c:v>37</c:v>
                </c:pt>
                <c:pt idx="4">
                  <c:v>39</c:v>
                </c:pt>
                <c:pt idx="5">
                  <c:v>28</c:v>
                </c:pt>
                <c:pt idx="6">
                  <c:v>33</c:v>
                </c:pt>
                <c:pt idx="7">
                  <c:v>35</c:v>
                </c:pt>
                <c:pt idx="8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4D-4A4B-8EBC-C9073A736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7395392"/>
        <c:axId val="1427397184"/>
      </c:lineChart>
      <c:catAx>
        <c:axId val="142739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397184"/>
        <c:crosses val="autoZero"/>
        <c:auto val="1"/>
        <c:lblAlgn val="ctr"/>
        <c:lblOffset val="100"/>
        <c:noMultiLvlLbl val="0"/>
      </c:catAx>
      <c:valAx>
        <c:axId val="1427397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395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金山大事件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图表练习!$H$101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noFill/>
              <a:round/>
            </a:ln>
            <a:effectLst>
              <a:outerShdw blurRad="63500" sx="102000" sy="102000" algn="ctr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8"/>
            <c:spPr>
              <a:solidFill>
                <a:srgbClr val="FFC000"/>
              </a:solidFill>
              <a:ln w="9525">
                <a:noFill/>
              </a:ln>
              <a:effectLst>
                <a:outerShdw blurRad="63500" sx="102000" sy="102000" algn="ctr" rotWithShape="0">
                  <a:prstClr val="black">
                    <a:alpha val="40000"/>
                  </a:prst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图表练习!$G$101:$G$110</c:f>
              <c:strCache>
                <c:ptCount val="10"/>
                <c:pt idx="0">
                  <c:v>1月 金山云与马上消费金融达成战略合作 共缔金融生态圈</c:v>
                </c:pt>
                <c:pt idx="1">
                  <c:v>2月 IDC：金山云稳居2019 Q3 中国公有云互联网前三</c:v>
                </c:pt>
                <c:pt idx="2">
                  <c:v>3月 金山云边缘计算助力爱奇艺，冲进30毫秒高速区</c:v>
                </c:pt>
                <c:pt idx="3">
                  <c:v>3月 金山云直播加速产品入围“科技冬奥、智慧北京”十佳名单</c:v>
                </c:pt>
                <c:pt idx="4">
                  <c:v>3月 数字化助力，“新基建”蓝图初显</c:v>
                </c:pt>
                <c:pt idx="5">
                  <c:v>5月 金山云纳斯达克敲钟上市 不负时代的机遇</c:v>
                </c:pt>
                <c:pt idx="6">
                  <c:v>5月 金山云上市首日股价涨超40％ 迎来高光时刻</c:v>
                </c:pt>
                <c:pt idx="7">
                  <c:v>5月 “All in”云服务 金山云登陆纳斯达克</c:v>
                </c:pt>
                <c:pt idx="8">
                  <c:v>6月 一图看懂金山云2020年Q1财报</c:v>
                </c:pt>
                <c:pt idx="9">
                  <c:v>7月 首批！金山云获得可信金融云解决方案认证</c:v>
                </c:pt>
              </c:strCache>
            </c:strRef>
          </c:cat>
          <c:val>
            <c:numRef>
              <c:f>图表练习!$H$101:$H$110</c:f>
              <c:numCache>
                <c:formatCode>General</c:formatCode>
                <c:ptCount val="10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7</c:v>
                </c:pt>
                <c:pt idx="6">
                  <c:v>3</c:v>
                </c:pt>
                <c:pt idx="7">
                  <c:v>6</c:v>
                </c:pt>
                <c:pt idx="8">
                  <c:v>2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D3-614F-8E37-B83B1DCCD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12700" cap="flat" cmpd="sng" algn="ctr">
              <a:gradFill>
                <a:gsLst>
                  <a:gs pos="100000">
                    <a:schemeClr val="accent1">
                      <a:lumMod val="5000"/>
                      <a:lumOff val="95000"/>
                    </a:schemeClr>
                  </a:gs>
                  <a:gs pos="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round/>
            </a:ln>
            <a:effectLst/>
          </c:spPr>
        </c:dropLines>
        <c:marker val="1"/>
        <c:smooth val="0"/>
        <c:axId val="1485138432"/>
        <c:axId val="1554086336"/>
      </c:lineChart>
      <c:catAx>
        <c:axId val="14851384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54086336"/>
        <c:crosses val="autoZero"/>
        <c:auto val="1"/>
        <c:lblAlgn val="ctr"/>
        <c:lblOffset val="100"/>
        <c:noMultiLvlLbl val="0"/>
      </c:catAx>
      <c:valAx>
        <c:axId val="1554086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85138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xy</a:t>
            </a:r>
            <a:r>
              <a:rPr lang="zh-CN" altLang="en-US"/>
              <a:t>散点图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6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DB15692-D7A6-5A4F-9E8B-2447ED90CAD8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9E0-9F4B-B58C-FA794EB6BDB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9FDD881-30C3-BB4B-A5CD-359E61D545DB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C9E0-9F4B-B58C-FA794EB6BDB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DD57CC8-EFC9-6B43-AB6C-4292F9B68723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C9E0-9F4B-B58C-FA794EB6BDB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1B0E859-7634-DB40-A28F-F5AAF9C450B1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9E0-9F4B-B58C-FA794EB6BDB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53E3C13-C8B7-5944-844B-4E0E77422A26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9E0-9F4B-B58C-FA794EB6BDB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74EF129-2EA1-D84B-8F67-23FACF95ED1C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C9E0-9F4B-B58C-FA794EB6BDB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411F75E-95F3-D046-BF15-F28B88BDEFC5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9E0-9F4B-B58C-FA794EB6BD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图表练习!$B$116:$B$122</c:f>
              <c:numCache>
                <c:formatCode>0.0_ </c:formatCode>
                <c:ptCount val="7"/>
                <c:pt idx="0">
                  <c:v>45.6</c:v>
                </c:pt>
                <c:pt idx="1">
                  <c:v>145</c:v>
                </c:pt>
                <c:pt idx="2">
                  <c:v>62.5</c:v>
                </c:pt>
                <c:pt idx="3">
                  <c:v>38</c:v>
                </c:pt>
                <c:pt idx="4">
                  <c:v>97</c:v>
                </c:pt>
                <c:pt idx="5">
                  <c:v>123.79</c:v>
                </c:pt>
                <c:pt idx="6">
                  <c:v>81</c:v>
                </c:pt>
              </c:numCache>
            </c:numRef>
          </c:xVal>
          <c:yVal>
            <c:numRef>
              <c:f>图表练习!$C$116:$C$122</c:f>
              <c:numCache>
                <c:formatCode>0.0_ </c:formatCode>
                <c:ptCount val="7"/>
                <c:pt idx="0">
                  <c:v>55284.087500000001</c:v>
                </c:pt>
                <c:pt idx="1">
                  <c:v>137464.85999999999</c:v>
                </c:pt>
                <c:pt idx="2">
                  <c:v>55334.36</c:v>
                </c:pt>
                <c:pt idx="3">
                  <c:v>34858.978000000003</c:v>
                </c:pt>
                <c:pt idx="4">
                  <c:v>53480.317499999997</c:v>
                </c:pt>
                <c:pt idx="5">
                  <c:v>78186.891000000003</c:v>
                </c:pt>
                <c:pt idx="6">
                  <c:v>51758.66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图表练习!$A$116:$A$122</c15:f>
                <c15:dlblRangeCache>
                  <c:ptCount val="7"/>
                  <c:pt idx="0">
                    <c:v>奶酪</c:v>
                  </c:pt>
                  <c:pt idx="1">
                    <c:v>鸡精</c:v>
                  </c:pt>
                  <c:pt idx="2">
                    <c:v>胡椒</c:v>
                  </c:pt>
                  <c:pt idx="3">
                    <c:v>鸡</c:v>
                  </c:pt>
                  <c:pt idx="4">
                    <c:v>酱油</c:v>
                  </c:pt>
                  <c:pt idx="5">
                    <c:v>麻油</c:v>
                  </c:pt>
                  <c:pt idx="6">
                    <c:v>蟹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C9E0-9F4B-B58C-FA794EB6B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7889152"/>
        <c:axId val="1427886016"/>
      </c:scatterChart>
      <c:valAx>
        <c:axId val="142788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886016"/>
        <c:crosses val="autoZero"/>
        <c:crossBetween val="midCat"/>
      </c:valAx>
      <c:valAx>
        <c:axId val="14278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889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波士顿矩阵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8"/>
            <c:spPr>
              <a:solidFill>
                <a:schemeClr val="tx2">
                  <a:lumMod val="20000"/>
                  <a:lumOff val="8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617BED2-91D3-DA43-B3EF-EC21CB98B7EE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B9C-1845-A579-5E945A4E5B6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ADB604B-E6D6-BB44-83B4-E59B7234E6DB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B9C-1845-A579-5E945A4E5B6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1EBD61F-181E-614B-A7B1-5102C193F2B5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B9C-1845-A579-5E945A4E5B6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3A0030D-7E10-6C46-8AEC-03C4064A9AE0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B9C-1845-A579-5E945A4E5B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FD6FF9D-FCCD-D447-92F9-0B2B00E5D539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B9C-1845-A579-5E945A4E5B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AF37427-FD84-F242-B81F-FCC8B9D42963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B9C-1845-A579-5E945A4E5B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1D8E742-669C-864A-970B-207B123543FE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B9C-1845-A579-5E945A4E5B6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20C41B3-7C21-C14B-B39A-98815FC9DB9A}" type="CELLRANGE">
                      <a:rPr lang="zh-CN" altLang="en-US"/>
                      <a:pPr/>
                      <a:t>[CELLRANGE]</a:t>
                    </a:fld>
                    <a:endParaRPr lang="zh-CN" alt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B9C-1845-A579-5E945A4E5B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图表练习!$H$120:$H$127</c:f>
              <c:numCache>
                <c:formatCode>_(* #,##0.00_);_(* \(#,##0.00\);_(* "-"??_);_(@_)</c:formatCode>
                <c:ptCount val="8"/>
                <c:pt idx="0">
                  <c:v>1449</c:v>
                </c:pt>
                <c:pt idx="1">
                  <c:v>860</c:v>
                </c:pt>
                <c:pt idx="2">
                  <c:v>1165</c:v>
                </c:pt>
                <c:pt idx="3">
                  <c:v>719</c:v>
                </c:pt>
                <c:pt idx="4">
                  <c:v>1430</c:v>
                </c:pt>
                <c:pt idx="5">
                  <c:v>1350</c:v>
                </c:pt>
                <c:pt idx="6">
                  <c:v>750</c:v>
                </c:pt>
                <c:pt idx="7">
                  <c:v>1700</c:v>
                </c:pt>
              </c:numCache>
            </c:numRef>
          </c:xVal>
          <c:yVal>
            <c:numRef>
              <c:f>图表练习!$I$120:$I$127</c:f>
              <c:numCache>
                <c:formatCode>0.00%</c:formatCode>
                <c:ptCount val="8"/>
                <c:pt idx="0">
                  <c:v>0.17599999999999999</c:v>
                </c:pt>
                <c:pt idx="1">
                  <c:v>0.27900000000000003</c:v>
                </c:pt>
                <c:pt idx="2">
                  <c:v>0.114</c:v>
                </c:pt>
                <c:pt idx="3">
                  <c:v>0.09</c:v>
                </c:pt>
                <c:pt idx="4">
                  <c:v>5.2999999999999999E-2</c:v>
                </c:pt>
                <c:pt idx="5">
                  <c:v>0.253</c:v>
                </c:pt>
                <c:pt idx="6">
                  <c:v>6.3E-2</c:v>
                </c:pt>
                <c:pt idx="7">
                  <c:v>0.13200000000000001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图表练习!$G$120:$G$127</c15:f>
                <c15:dlblRangeCache>
                  <c:ptCount val="8"/>
                  <c:pt idx="0">
                    <c:v>A产品</c:v>
                  </c:pt>
                  <c:pt idx="1">
                    <c:v>B产品</c:v>
                  </c:pt>
                  <c:pt idx="2">
                    <c:v>C产品</c:v>
                  </c:pt>
                  <c:pt idx="3">
                    <c:v>D产品</c:v>
                  </c:pt>
                  <c:pt idx="4">
                    <c:v>E产品</c:v>
                  </c:pt>
                  <c:pt idx="5">
                    <c:v>F产品</c:v>
                  </c:pt>
                  <c:pt idx="6">
                    <c:v>G产品</c:v>
                  </c:pt>
                  <c:pt idx="7">
                    <c:v>H产品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B9C-1845-A579-5E945A4E5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7813952"/>
        <c:axId val="1554239424"/>
      </c:scatterChart>
      <c:valAx>
        <c:axId val="1427813952"/>
        <c:scaling>
          <c:orientation val="maxMin"/>
          <c:min val="600"/>
        </c:scaling>
        <c:delete val="0"/>
        <c:axPos val="b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4239424"/>
        <c:crosses val="autoZero"/>
        <c:crossBetween val="midCat"/>
      </c:valAx>
      <c:valAx>
        <c:axId val="1554239424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27813952"/>
        <c:crosses val="autoZero"/>
        <c:crossBetween val="midCat"/>
      </c:valAx>
      <c:spPr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4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Offset动态图表!最后五天日期</c:f>
              <c:numCache>
                <c:formatCode>yyyy/m/d;@</c:formatCode>
                <c:ptCount val="5"/>
                <c:pt idx="0">
                  <c:v>44357</c:v>
                </c:pt>
                <c:pt idx="1">
                  <c:v>44358</c:v>
                </c:pt>
                <c:pt idx="2">
                  <c:v>44362</c:v>
                </c:pt>
                <c:pt idx="3">
                  <c:v>44363</c:v>
                </c:pt>
                <c:pt idx="4">
                  <c:v>44364</c:v>
                </c:pt>
              </c:numCache>
            </c:numRef>
          </c:cat>
          <c:val>
            <c:numRef>
              <c:f>Offset动态图表!最后五天开盘价</c:f>
              <c:numCache>
                <c:formatCode>General</c:formatCode>
                <c:ptCount val="5"/>
                <c:pt idx="0">
                  <c:v>2238.48</c:v>
                </c:pt>
                <c:pt idx="1">
                  <c:v>2178.81</c:v>
                </c:pt>
                <c:pt idx="2">
                  <c:v>2193</c:v>
                </c:pt>
                <c:pt idx="3">
                  <c:v>2158</c:v>
                </c:pt>
                <c:pt idx="4">
                  <c:v>2156.91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56-5D44-9DAB-D03EFD20E18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16265600"/>
        <c:axId val="223781183"/>
      </c:lineChart>
      <c:dateAx>
        <c:axId val="1016265600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3781183"/>
        <c:crosses val="autoZero"/>
        <c:auto val="1"/>
        <c:lblOffset val="100"/>
        <c:baseTimeUnit val="days"/>
      </c:dateAx>
      <c:valAx>
        <c:axId val="22378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1626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chart" Target="../charts/chart10.xml"/><Relationship Id="rId18" Type="http://schemas.openxmlformats.org/officeDocument/2006/relationships/chart" Target="../charts/chart15.xml"/><Relationship Id="rId3" Type="http://schemas.openxmlformats.org/officeDocument/2006/relationships/image" Target="../media/image2.png"/><Relationship Id="rId21" Type="http://schemas.openxmlformats.org/officeDocument/2006/relationships/chart" Target="../charts/chart18.xml"/><Relationship Id="rId7" Type="http://schemas.openxmlformats.org/officeDocument/2006/relationships/chart" Target="../charts/chart4.xml"/><Relationship Id="rId12" Type="http://schemas.openxmlformats.org/officeDocument/2006/relationships/chart" Target="../charts/chart9.xml"/><Relationship Id="rId17" Type="http://schemas.openxmlformats.org/officeDocument/2006/relationships/chart" Target="../charts/chart14.xml"/><Relationship Id="rId2" Type="http://schemas.openxmlformats.org/officeDocument/2006/relationships/chart" Target="../charts/chart2.xml"/><Relationship Id="rId16" Type="http://schemas.openxmlformats.org/officeDocument/2006/relationships/chart" Target="../charts/chart13.xml"/><Relationship Id="rId20" Type="http://schemas.openxmlformats.org/officeDocument/2006/relationships/chart" Target="../charts/chart17.xml"/><Relationship Id="rId1" Type="http://schemas.openxmlformats.org/officeDocument/2006/relationships/chart" Target="../charts/chart1.xml"/><Relationship Id="rId6" Type="http://schemas.openxmlformats.org/officeDocument/2006/relationships/chart" Target="../charts/chart3.xml"/><Relationship Id="rId11" Type="http://schemas.openxmlformats.org/officeDocument/2006/relationships/chart" Target="../charts/chart8.xml"/><Relationship Id="rId24" Type="http://schemas.openxmlformats.org/officeDocument/2006/relationships/chart" Target="../charts/chart21.xml"/><Relationship Id="rId5" Type="http://schemas.openxmlformats.org/officeDocument/2006/relationships/image" Target="../media/image4.png"/><Relationship Id="rId15" Type="http://schemas.openxmlformats.org/officeDocument/2006/relationships/chart" Target="../charts/chart12.xml"/><Relationship Id="rId23" Type="http://schemas.openxmlformats.org/officeDocument/2006/relationships/chart" Target="../charts/chart20.xml"/><Relationship Id="rId10" Type="http://schemas.openxmlformats.org/officeDocument/2006/relationships/chart" Target="../charts/chart7.xml"/><Relationship Id="rId19" Type="http://schemas.openxmlformats.org/officeDocument/2006/relationships/chart" Target="../charts/chart16.xml"/><Relationship Id="rId4" Type="http://schemas.openxmlformats.org/officeDocument/2006/relationships/image" Target="../media/image3.png"/><Relationship Id="rId9" Type="http://schemas.openxmlformats.org/officeDocument/2006/relationships/chart" Target="../charts/chart6.xml"/><Relationship Id="rId14" Type="http://schemas.openxmlformats.org/officeDocument/2006/relationships/chart" Target="../charts/chart11.xml"/><Relationship Id="rId22" Type="http://schemas.openxmlformats.org/officeDocument/2006/relationships/chart" Target="../charts/chart1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10584</xdr:colOff>
      <xdr:row>0</xdr:row>
      <xdr:rowOff>0</xdr:rowOff>
    </xdr:from>
    <xdr:to>
      <xdr:col>5</xdr:col>
      <xdr:colOff>455084</xdr:colOff>
      <xdr:row>14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8E27535-2078-7A7B-0708-5B992125F0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455084</xdr:colOff>
      <xdr:row>16</xdr:row>
      <xdr:rowOff>46566</xdr:rowOff>
    </xdr:from>
    <xdr:to>
      <xdr:col>11</xdr:col>
      <xdr:colOff>74084</xdr:colOff>
      <xdr:row>30</xdr:row>
      <xdr:rowOff>179918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C53B468-8826-6BA6-A59A-576F498319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74083</xdr:colOff>
      <xdr:row>0</xdr:row>
      <xdr:rowOff>0</xdr:rowOff>
    </xdr:from>
    <xdr:to>
      <xdr:col>9</xdr:col>
      <xdr:colOff>702733</xdr:colOff>
      <xdr:row>6</xdr:row>
      <xdr:rowOff>97790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8A499C17-1818-C043-A946-535B84545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7503583" y="0"/>
          <a:ext cx="628650" cy="12407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182880</xdr:colOff>
      <xdr:row>0</xdr:row>
      <xdr:rowOff>2540</xdr:rowOff>
    </xdr:from>
    <xdr:to>
      <xdr:col>12</xdr:col>
      <xdr:colOff>59055</xdr:colOff>
      <xdr:row>12</xdr:row>
      <xdr:rowOff>99060</xdr:rowOff>
    </xdr:to>
    <xdr:pic>
      <xdr:nvPicPr>
        <xdr:cNvPr id="15" name="图片 14" descr="2灰色瓶身">
          <a:extLst>
            <a:ext uri="{FF2B5EF4-FFF2-40B4-BE49-F238E27FC236}">
              <a16:creationId xmlns:a16="http://schemas.microsoft.com/office/drawing/2014/main" id="{91D16F65-B665-EC46-899C-C73EA3188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63380" y="2540"/>
          <a:ext cx="701675" cy="238252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10</xdr:col>
      <xdr:colOff>702310</xdr:colOff>
      <xdr:row>12</xdr:row>
      <xdr:rowOff>102235</xdr:rowOff>
    </xdr:to>
    <xdr:pic>
      <xdr:nvPicPr>
        <xdr:cNvPr id="16" name="图片 15" descr="3蓝色瓶身">
          <a:extLst>
            <a:ext uri="{FF2B5EF4-FFF2-40B4-BE49-F238E27FC236}">
              <a16:creationId xmlns:a16="http://schemas.microsoft.com/office/drawing/2014/main" id="{E6795D5B-41A2-7E4D-A766-32ED8EC478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55000" y="0"/>
          <a:ext cx="702310" cy="2388235"/>
        </a:xfrm>
        <a:prstGeom prst="rect">
          <a:avLst/>
        </a:prstGeom>
      </xdr:spPr>
    </xdr:pic>
    <xdr:clientData/>
  </xdr:twoCellAnchor>
  <xdr:twoCellAnchor>
    <xdr:from>
      <xdr:col>5</xdr:col>
      <xdr:colOff>460375</xdr:colOff>
      <xdr:row>0</xdr:row>
      <xdr:rowOff>10583</xdr:rowOff>
    </xdr:from>
    <xdr:to>
      <xdr:col>15</xdr:col>
      <xdr:colOff>444500</xdr:colOff>
      <xdr:row>16</xdr:row>
      <xdr:rowOff>63501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2E2133A-2A8F-48D6-FED9-C94D05A73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10584</xdr:colOff>
      <xdr:row>14</xdr:row>
      <xdr:rowOff>84666</xdr:rowOff>
    </xdr:from>
    <xdr:to>
      <xdr:col>5</xdr:col>
      <xdr:colOff>455083</xdr:colOff>
      <xdr:row>31</xdr:row>
      <xdr:rowOff>10583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4B480F53-03C7-4695-3479-F59BEB8A2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84667</xdr:colOff>
      <xdr:row>16</xdr:row>
      <xdr:rowOff>78315</xdr:rowOff>
    </xdr:from>
    <xdr:to>
      <xdr:col>16</xdr:col>
      <xdr:colOff>529167</xdr:colOff>
      <xdr:row>31</xdr:row>
      <xdr:rowOff>10582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0B2100F-DA23-7DC5-AEC2-BE60E067B3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10584</xdr:colOff>
      <xdr:row>31</xdr:row>
      <xdr:rowOff>14816</xdr:rowOff>
    </xdr:from>
    <xdr:to>
      <xdr:col>5</xdr:col>
      <xdr:colOff>455084</xdr:colOff>
      <xdr:row>45</xdr:row>
      <xdr:rowOff>91016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E011B6A2-405C-6956-EB4A-EE8962F6F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455084</xdr:colOff>
      <xdr:row>31</xdr:row>
      <xdr:rowOff>4233</xdr:rowOff>
    </xdr:from>
    <xdr:to>
      <xdr:col>11</xdr:col>
      <xdr:colOff>74084</xdr:colOff>
      <xdr:row>45</xdr:row>
      <xdr:rowOff>80433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2AFCA88-A5E2-5ABF-5440-8C96C7DCB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84667</xdr:colOff>
      <xdr:row>30</xdr:row>
      <xdr:rowOff>184150</xdr:rowOff>
    </xdr:from>
    <xdr:to>
      <xdr:col>16</xdr:col>
      <xdr:colOff>529167</xdr:colOff>
      <xdr:row>45</xdr:row>
      <xdr:rowOff>69850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04056195-2FC9-60B8-9D27-8FAB3E3BC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10584</xdr:colOff>
      <xdr:row>45</xdr:row>
      <xdr:rowOff>88899</xdr:rowOff>
    </xdr:from>
    <xdr:to>
      <xdr:col>5</xdr:col>
      <xdr:colOff>455084</xdr:colOff>
      <xdr:row>59</xdr:row>
      <xdr:rowOff>165099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3A1D97CE-EA75-3293-5903-3C127E64A4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</xdr:col>
      <xdr:colOff>455083</xdr:colOff>
      <xdr:row>45</xdr:row>
      <xdr:rowOff>67733</xdr:rowOff>
    </xdr:from>
    <xdr:to>
      <xdr:col>11</xdr:col>
      <xdr:colOff>74083</xdr:colOff>
      <xdr:row>59</xdr:row>
      <xdr:rowOff>143933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4DE4DDCE-97BE-1098-6627-4A9035695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95250</xdr:colOff>
      <xdr:row>45</xdr:row>
      <xdr:rowOff>74084</xdr:rowOff>
    </xdr:from>
    <xdr:to>
      <xdr:col>16</xdr:col>
      <xdr:colOff>518583</xdr:colOff>
      <xdr:row>59</xdr:row>
      <xdr:rowOff>169333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7BE861B9-3602-E24F-B194-C82CD3A7D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21167</xdr:colOff>
      <xdr:row>59</xdr:row>
      <xdr:rowOff>162983</xdr:rowOff>
    </xdr:from>
    <xdr:to>
      <xdr:col>5</xdr:col>
      <xdr:colOff>465667</xdr:colOff>
      <xdr:row>74</xdr:row>
      <xdr:rowOff>48683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ECB376AB-FDE4-FB75-3AD0-E37A11736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481542</xdr:colOff>
      <xdr:row>59</xdr:row>
      <xdr:rowOff>157692</xdr:rowOff>
    </xdr:from>
    <xdr:to>
      <xdr:col>11</xdr:col>
      <xdr:colOff>100542</xdr:colOff>
      <xdr:row>74</xdr:row>
      <xdr:rowOff>43392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43330714-82C0-DDB0-97C0-43D574DB33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11</xdr:col>
      <xdr:colOff>89959</xdr:colOff>
      <xdr:row>59</xdr:row>
      <xdr:rowOff>168274</xdr:rowOff>
    </xdr:from>
    <xdr:to>
      <xdr:col>16</xdr:col>
      <xdr:colOff>534459</xdr:colOff>
      <xdr:row>84</xdr:row>
      <xdr:rowOff>148167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90C0E80-FA46-9089-14D2-3A0B774772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74</xdr:row>
      <xdr:rowOff>41274</xdr:rowOff>
    </xdr:from>
    <xdr:to>
      <xdr:col>5</xdr:col>
      <xdr:colOff>444500</xdr:colOff>
      <xdr:row>98</xdr:row>
      <xdr:rowOff>31750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98BF5B4B-3A76-1444-A4F9-F76640FF59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</xdr:col>
      <xdr:colOff>444500</xdr:colOff>
      <xdr:row>74</xdr:row>
      <xdr:rowOff>30691</xdr:rowOff>
    </xdr:from>
    <xdr:to>
      <xdr:col>11</xdr:col>
      <xdr:colOff>95250</xdr:colOff>
      <xdr:row>98</xdr:row>
      <xdr:rowOff>31750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5CB27BBC-582A-1D13-C361-E24E380EB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11</xdr:col>
      <xdr:colOff>89958</xdr:colOff>
      <xdr:row>84</xdr:row>
      <xdr:rowOff>147108</xdr:rowOff>
    </xdr:from>
    <xdr:to>
      <xdr:col>16</xdr:col>
      <xdr:colOff>534458</xdr:colOff>
      <xdr:row>99</xdr:row>
      <xdr:rowOff>32808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47D38CA4-255F-DF5A-C25A-AEB3052E58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10583</xdr:colOff>
      <xdr:row>98</xdr:row>
      <xdr:rowOff>41275</xdr:rowOff>
    </xdr:from>
    <xdr:to>
      <xdr:col>5</xdr:col>
      <xdr:colOff>455083</xdr:colOff>
      <xdr:row>112</xdr:row>
      <xdr:rowOff>117475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3ED52542-C706-A754-62EA-2E4A9F1BC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476251</xdr:colOff>
      <xdr:row>99</xdr:row>
      <xdr:rowOff>41276</xdr:rowOff>
    </xdr:from>
    <xdr:to>
      <xdr:col>13</xdr:col>
      <xdr:colOff>412751</xdr:colOff>
      <xdr:row>117</xdr:row>
      <xdr:rowOff>10584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1FE56D5-3741-1AB4-B42E-DEC75598F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10584</xdr:colOff>
      <xdr:row>112</xdr:row>
      <xdr:rowOff>125942</xdr:rowOff>
    </xdr:from>
    <xdr:to>
      <xdr:col>5</xdr:col>
      <xdr:colOff>455084</xdr:colOff>
      <xdr:row>127</xdr:row>
      <xdr:rowOff>11642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3CA7822-7F5B-7A08-AE52-0C5C0893EB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</xdr:col>
      <xdr:colOff>455085</xdr:colOff>
      <xdr:row>117</xdr:row>
      <xdr:rowOff>9525</xdr:rowOff>
    </xdr:from>
    <xdr:to>
      <xdr:col>11</xdr:col>
      <xdr:colOff>74085</xdr:colOff>
      <xdr:row>141</xdr:row>
      <xdr:rowOff>21166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8A54D230-26EC-0150-1B8E-0540DB3CE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0.5787</cdr:x>
      <cdr:y>0.25883</cdr:y>
    </cdr:from>
    <cdr:to>
      <cdr:x>0.78009</cdr:x>
      <cdr:y>0.34657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7C18678B-7582-2F6B-2081-41D42F20D3F8}"/>
            </a:ext>
          </a:extLst>
        </cdr:cNvPr>
        <cdr:cNvSpPr txBox="1"/>
      </cdr:nvSpPr>
      <cdr:spPr>
        <a:xfrm xmlns:a="http://schemas.openxmlformats.org/drawingml/2006/main">
          <a:off x="2645830" y="1186392"/>
          <a:ext cx="920751" cy="4021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zh-CN" altLang="en-US" sz="2000" kern="1200">
              <a:solidFill>
                <a:schemeClr val="bg1"/>
              </a:solidFill>
              <a:latin typeface="SimHei" panose="02010609060101010101" pitchFamily="49" charset="-122"/>
              <a:ea typeface="SimHei" panose="02010609060101010101" pitchFamily="49" charset="-122"/>
            </a:rPr>
            <a:t>新业务</a:t>
          </a:r>
        </a:p>
      </cdr:txBody>
    </cdr:sp>
  </cdr:relSizeAnchor>
  <cdr:relSizeAnchor xmlns:cdr="http://schemas.openxmlformats.org/drawingml/2006/chartDrawing">
    <cdr:from>
      <cdr:x>0.16389</cdr:x>
      <cdr:y>0.25814</cdr:y>
    </cdr:from>
    <cdr:to>
      <cdr:x>0.41898</cdr:x>
      <cdr:y>0.34588</cdr:y>
    </cdr:to>
    <cdr:sp macro="" textlink="">
      <cdr:nvSpPr>
        <cdr:cNvPr id="3" name="文本框 1">
          <a:extLst xmlns:a="http://schemas.openxmlformats.org/drawingml/2006/main">
            <a:ext uri="{FF2B5EF4-FFF2-40B4-BE49-F238E27FC236}">
              <a16:creationId xmlns:a16="http://schemas.microsoft.com/office/drawing/2014/main" id="{17EABDB2-1FEF-DB48-C08D-BD11D7054430}"/>
            </a:ext>
          </a:extLst>
        </cdr:cNvPr>
        <cdr:cNvSpPr txBox="1"/>
      </cdr:nvSpPr>
      <cdr:spPr>
        <a:xfrm xmlns:a="http://schemas.openxmlformats.org/drawingml/2006/main">
          <a:off x="749300" y="1183216"/>
          <a:ext cx="1166282" cy="4021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zh-CN" altLang="en-US" sz="2000" kern="1200">
              <a:solidFill>
                <a:schemeClr val="bg1"/>
              </a:solidFill>
              <a:latin typeface="SimHei" panose="02010609060101010101" pitchFamily="49" charset="-122"/>
              <a:ea typeface="SimHei" panose="02010609060101010101" pitchFamily="49" charset="-122"/>
            </a:rPr>
            <a:t>明星业务</a:t>
          </a:r>
        </a:p>
      </cdr:txBody>
    </cdr:sp>
  </cdr:relSizeAnchor>
  <cdr:relSizeAnchor xmlns:cdr="http://schemas.openxmlformats.org/drawingml/2006/chartDrawing">
    <cdr:from>
      <cdr:x>0.15926</cdr:x>
      <cdr:y>0.65297</cdr:y>
    </cdr:from>
    <cdr:to>
      <cdr:x>0.41435</cdr:x>
      <cdr:y>0.74071</cdr:y>
    </cdr:to>
    <cdr:sp macro="" textlink="">
      <cdr:nvSpPr>
        <cdr:cNvPr id="4" name="文本框 1">
          <a:extLst xmlns:a="http://schemas.openxmlformats.org/drawingml/2006/main">
            <a:ext uri="{FF2B5EF4-FFF2-40B4-BE49-F238E27FC236}">
              <a16:creationId xmlns:a16="http://schemas.microsoft.com/office/drawing/2014/main" id="{636765CD-51B8-2F7F-81BA-ABDC535778F5}"/>
            </a:ext>
          </a:extLst>
        </cdr:cNvPr>
        <cdr:cNvSpPr txBox="1"/>
      </cdr:nvSpPr>
      <cdr:spPr>
        <a:xfrm xmlns:a="http://schemas.openxmlformats.org/drawingml/2006/main">
          <a:off x="728134" y="2992967"/>
          <a:ext cx="1166282" cy="4021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zh-CN" altLang="en-US" sz="2000" kern="1200">
              <a:solidFill>
                <a:schemeClr val="bg1"/>
              </a:solidFill>
              <a:latin typeface="SimHei" panose="02010609060101010101" pitchFamily="49" charset="-122"/>
              <a:ea typeface="SimHei" panose="02010609060101010101" pitchFamily="49" charset="-122"/>
            </a:rPr>
            <a:t>现金牛</a:t>
          </a:r>
        </a:p>
      </cdr:txBody>
    </cdr:sp>
  </cdr:relSizeAnchor>
  <cdr:relSizeAnchor xmlns:cdr="http://schemas.openxmlformats.org/drawingml/2006/chartDrawing">
    <cdr:from>
      <cdr:x>0.55046</cdr:x>
      <cdr:y>0.65528</cdr:y>
    </cdr:from>
    <cdr:to>
      <cdr:x>0.80556</cdr:x>
      <cdr:y>0.74302</cdr:y>
    </cdr:to>
    <cdr:sp macro="" textlink="">
      <cdr:nvSpPr>
        <cdr:cNvPr id="5" name="文本框 1">
          <a:extLst xmlns:a="http://schemas.openxmlformats.org/drawingml/2006/main">
            <a:ext uri="{FF2B5EF4-FFF2-40B4-BE49-F238E27FC236}">
              <a16:creationId xmlns:a16="http://schemas.microsoft.com/office/drawing/2014/main" id="{636765CD-51B8-2F7F-81BA-ABDC535778F5}"/>
            </a:ext>
          </a:extLst>
        </cdr:cNvPr>
        <cdr:cNvSpPr txBox="1"/>
      </cdr:nvSpPr>
      <cdr:spPr>
        <a:xfrm xmlns:a="http://schemas.openxmlformats.org/drawingml/2006/main">
          <a:off x="2516716" y="3003550"/>
          <a:ext cx="1166282" cy="40216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zh-CN" altLang="en-US" sz="2000" kern="1200">
              <a:solidFill>
                <a:schemeClr val="bg1"/>
              </a:solidFill>
              <a:latin typeface="SimHei" panose="02010609060101010101" pitchFamily="49" charset="-122"/>
              <a:ea typeface="SimHei" panose="02010609060101010101" pitchFamily="49" charset="-122"/>
            </a:rPr>
            <a:t>瘦狗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355600</xdr:colOff>
      <xdr:row>0</xdr:row>
      <xdr:rowOff>16934</xdr:rowOff>
    </xdr:from>
    <xdr:to>
      <xdr:col>10</xdr:col>
      <xdr:colOff>778934</xdr:colOff>
      <xdr:row>14</xdr:row>
      <xdr:rowOff>33867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AC7911-052A-6387-F3F4-E958A5CCA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H105"/>
  <sheetViews>
    <sheetView tabSelected="1" topLeftCell="A75" zoomScale="150" zoomScaleNormal="150" workbookViewId="0">
      <selection activeCell="H93" sqref="H93"/>
    </sheetView>
  </sheetViews>
  <sheetFormatPr baseColWidth="10" defaultColWidth="9" defaultRowHeight="15"/>
  <cols>
    <col min="1" max="3" width="9" style="1"/>
    <col min="4" max="4" width="16.6640625" style="1" bestFit="1" customWidth="1"/>
    <col min="5" max="6" width="9" style="1"/>
    <col min="7" max="8" width="9.33203125" style="1" bestFit="1" customWidth="1"/>
    <col min="9" max="16384" width="9" style="1"/>
  </cols>
  <sheetData>
    <row r="2" spans="1:3" s="2" customFormat="1" ht="16" thickBot="1"/>
    <row r="3" spans="1:3" ht="16" thickTop="1"/>
    <row r="4" spans="1:3" s="3" customFormat="1" ht="14">
      <c r="A4" s="3" t="s">
        <v>0</v>
      </c>
      <c r="B4" s="6" t="s">
        <v>8</v>
      </c>
    </row>
    <row r="5" spans="1:3" s="3" customFormat="1" ht="14"/>
    <row r="6" spans="1:3" s="3" customFormat="1" ht="14">
      <c r="B6" s="3" t="s">
        <v>29</v>
      </c>
    </row>
    <row r="7" spans="1:3" s="3" customFormat="1" ht="14">
      <c r="C7" s="20" t="s">
        <v>2</v>
      </c>
    </row>
    <row r="8" spans="1:3" s="3" customFormat="1" ht="14">
      <c r="C8" s="20" t="s">
        <v>30</v>
      </c>
    </row>
    <row r="9" spans="1:3" s="3" customFormat="1" ht="14">
      <c r="C9" s="20" t="s">
        <v>3</v>
      </c>
    </row>
    <row r="10" spans="1:3" s="3" customFormat="1" ht="14">
      <c r="C10" s="20" t="s">
        <v>31</v>
      </c>
    </row>
    <row r="11" spans="1:3" s="3" customFormat="1" ht="14"/>
    <row r="12" spans="1:3" s="3" customFormat="1" ht="14">
      <c r="B12" s="3" t="s">
        <v>32</v>
      </c>
      <c r="C12" s="9"/>
    </row>
    <row r="13" spans="1:3" s="3" customFormat="1" ht="14">
      <c r="C13" s="9" t="s">
        <v>33</v>
      </c>
    </row>
    <row r="14" spans="1:3" s="3" customFormat="1" ht="14">
      <c r="C14" s="9" t="s">
        <v>34</v>
      </c>
    </row>
    <row r="15" spans="1:3" s="3" customFormat="1" ht="14">
      <c r="C15" s="9" t="s">
        <v>41</v>
      </c>
    </row>
    <row r="16" spans="1:3" s="3" customFormat="1" ht="14">
      <c r="C16" s="9"/>
    </row>
    <row r="17" spans="2:3" s="3" customFormat="1" ht="14">
      <c r="B17" s="3" t="s">
        <v>43</v>
      </c>
      <c r="C17" s="9"/>
    </row>
    <row r="18" spans="2:3" s="3" customFormat="1" ht="14">
      <c r="C18" s="20" t="s">
        <v>44</v>
      </c>
    </row>
    <row r="19" spans="2:3" s="3" customFormat="1" ht="14">
      <c r="C19" s="9"/>
    </row>
    <row r="20" spans="2:3" s="3" customFormat="1" ht="14">
      <c r="B20" s="3" t="s">
        <v>60</v>
      </c>
      <c r="C20" s="9"/>
    </row>
    <row r="21" spans="2:3" s="3" customFormat="1" ht="14">
      <c r="C21" s="20" t="s">
        <v>63</v>
      </c>
    </row>
    <row r="22" spans="2:3" s="3" customFormat="1" ht="14">
      <c r="C22" s="20"/>
    </row>
    <row r="23" spans="2:3" s="3" customFormat="1" ht="14">
      <c r="B23" s="3" t="s">
        <v>67</v>
      </c>
      <c r="C23" s="9"/>
    </row>
    <row r="24" spans="2:3" s="3" customFormat="1" ht="14">
      <c r="C24" s="20" t="s">
        <v>68</v>
      </c>
    </row>
    <row r="25" spans="2:3" s="3" customFormat="1" ht="14">
      <c r="C25" s="20" t="s">
        <v>69</v>
      </c>
    </row>
    <row r="26" spans="2:3" s="3" customFormat="1" ht="14">
      <c r="C26" s="9"/>
    </row>
    <row r="27" spans="2:3" s="3" customFormat="1" ht="14">
      <c r="B27" s="3" t="s">
        <v>70</v>
      </c>
      <c r="C27" s="9"/>
    </row>
    <row r="28" spans="2:3" s="3" customFormat="1" ht="14">
      <c r="C28" s="22" t="s">
        <v>71</v>
      </c>
    </row>
    <row r="29" spans="2:3" s="3" customFormat="1" ht="14">
      <c r="C29" s="22" t="s">
        <v>81</v>
      </c>
    </row>
    <row r="30" spans="2:3" s="3" customFormat="1" ht="14">
      <c r="C30" s="23" t="s">
        <v>82</v>
      </c>
    </row>
    <row r="31" spans="2:3" s="3" customFormat="1" ht="14">
      <c r="C31" s="9"/>
    </row>
    <row r="32" spans="2:3" s="3" customFormat="1" ht="14">
      <c r="B32" s="3" t="s">
        <v>83</v>
      </c>
      <c r="C32" s="9"/>
    </row>
    <row r="33" spans="2:3" s="3" customFormat="1" ht="14">
      <c r="C33" s="9" t="s">
        <v>84</v>
      </c>
    </row>
    <row r="34" spans="2:3" s="3" customFormat="1" ht="14">
      <c r="C34" s="9" t="s">
        <v>85</v>
      </c>
    </row>
    <row r="35" spans="2:3" s="3" customFormat="1" ht="14">
      <c r="C35" s="9" t="s">
        <v>86</v>
      </c>
    </row>
    <row r="36" spans="2:3" s="3" customFormat="1" ht="14">
      <c r="C36" s="9"/>
    </row>
    <row r="37" spans="2:3" s="3" customFormat="1" ht="14">
      <c r="B37" s="3" t="s">
        <v>87</v>
      </c>
      <c r="C37" s="9"/>
    </row>
    <row r="38" spans="2:3" s="3" customFormat="1" ht="14">
      <c r="C38" s="9" t="s">
        <v>93</v>
      </c>
    </row>
    <row r="39" spans="2:3" s="3" customFormat="1" ht="14">
      <c r="C39" s="9"/>
    </row>
    <row r="40" spans="2:3" s="3" customFormat="1" ht="14">
      <c r="B40" s="3" t="s">
        <v>94</v>
      </c>
      <c r="C40" s="9"/>
    </row>
    <row r="41" spans="2:3" s="3" customFormat="1" ht="14">
      <c r="C41" s="9" t="s">
        <v>97</v>
      </c>
    </row>
    <row r="42" spans="2:3" s="3" customFormat="1" ht="14">
      <c r="C42" s="9" t="s">
        <v>98</v>
      </c>
    </row>
    <row r="43" spans="2:3" s="3" customFormat="1" ht="14">
      <c r="C43" s="9"/>
    </row>
    <row r="44" spans="2:3" s="3" customFormat="1" ht="14">
      <c r="B44" s="3" t="s">
        <v>99</v>
      </c>
      <c r="C44" s="9"/>
    </row>
    <row r="45" spans="2:3" s="3" customFormat="1" ht="14">
      <c r="C45" s="9" t="s">
        <v>100</v>
      </c>
    </row>
    <row r="46" spans="2:3" s="3" customFormat="1" ht="14">
      <c r="C46" s="9"/>
    </row>
    <row r="47" spans="2:3" s="3" customFormat="1" ht="14">
      <c r="B47" s="3" t="s">
        <v>112</v>
      </c>
      <c r="C47" s="9"/>
    </row>
    <row r="48" spans="2:3" s="3" customFormat="1" ht="14">
      <c r="C48" s="9" t="s">
        <v>113</v>
      </c>
    </row>
    <row r="49" spans="2:3" s="3" customFormat="1" ht="14">
      <c r="C49" s="9" t="s">
        <v>114</v>
      </c>
    </row>
    <row r="50" spans="2:3" s="3" customFormat="1" ht="14">
      <c r="C50" s="9"/>
    </row>
    <row r="51" spans="2:3" s="3" customFormat="1" ht="14">
      <c r="B51" s="3" t="s">
        <v>123</v>
      </c>
      <c r="C51" s="9"/>
    </row>
    <row r="52" spans="2:3" s="3" customFormat="1" ht="14">
      <c r="C52" s="9" t="s">
        <v>132</v>
      </c>
    </row>
    <row r="53" spans="2:3" s="3" customFormat="1" ht="14">
      <c r="C53" s="9" t="s">
        <v>133</v>
      </c>
    </row>
    <row r="54" spans="2:3" s="3" customFormat="1" ht="14">
      <c r="C54" s="9" t="s">
        <v>134</v>
      </c>
    </row>
    <row r="55" spans="2:3" s="3" customFormat="1" ht="14">
      <c r="C55" s="9"/>
    </row>
    <row r="56" spans="2:3" s="3" customFormat="1" ht="14">
      <c r="B56" s="3" t="s">
        <v>153</v>
      </c>
      <c r="C56" s="9"/>
    </row>
    <row r="57" spans="2:3" s="3" customFormat="1" ht="14">
      <c r="C57" s="9" t="s">
        <v>154</v>
      </c>
    </row>
    <row r="58" spans="2:3" s="3" customFormat="1" ht="14">
      <c r="C58" s="9" t="s">
        <v>155</v>
      </c>
    </row>
    <row r="59" spans="2:3" s="3" customFormat="1" ht="14">
      <c r="C59" s="9" t="s">
        <v>165</v>
      </c>
    </row>
    <row r="60" spans="2:3" s="3" customFormat="1" ht="14"/>
    <row r="61" spans="2:3" s="3" customFormat="1" ht="14">
      <c r="C61" s="9" t="s">
        <v>9</v>
      </c>
    </row>
    <row r="62" spans="2:3" s="3" customFormat="1" ht="14">
      <c r="C62" s="9" t="s">
        <v>4</v>
      </c>
    </row>
    <row r="63" spans="2:3" s="3" customFormat="1" ht="14">
      <c r="C63" s="9" t="s">
        <v>5</v>
      </c>
    </row>
    <row r="64" spans="2:3" s="3" customFormat="1" ht="14"/>
    <row r="65" spans="1:7" s="3" customFormat="1" ht="14">
      <c r="A65" s="3" t="s">
        <v>1</v>
      </c>
      <c r="B65" s="6" t="s">
        <v>7</v>
      </c>
    </row>
    <row r="66" spans="1:7" s="3" customFormat="1" ht="14">
      <c r="B66" s="7"/>
    </row>
    <row r="67" spans="1:7" s="3" customFormat="1" ht="14">
      <c r="B67" s="3" t="s">
        <v>6</v>
      </c>
    </row>
    <row r="68" spans="1:7" s="3" customFormat="1" ht="14">
      <c r="C68" s="9" t="s">
        <v>11</v>
      </c>
      <c r="D68" s="9"/>
    </row>
    <row r="69" spans="1:7" s="3" customFormat="1" ht="14">
      <c r="B69" s="8"/>
      <c r="C69" s="9" t="s">
        <v>10</v>
      </c>
      <c r="D69" s="9"/>
    </row>
    <row r="70" spans="1:7" s="3" customFormat="1" ht="14">
      <c r="C70" s="9" t="s">
        <v>12</v>
      </c>
      <c r="D70" s="9" t="s">
        <v>16</v>
      </c>
    </row>
    <row r="71" spans="1:7" s="3" customFormat="1">
      <c r="B71" s="8"/>
      <c r="C71" s="9" t="s">
        <v>13</v>
      </c>
      <c r="D71" s="9" t="s">
        <v>17</v>
      </c>
      <c r="G71" s="5"/>
    </row>
    <row r="72" spans="1:7" s="3" customFormat="1">
      <c r="B72" s="8"/>
      <c r="C72" s="9" t="s">
        <v>14</v>
      </c>
      <c r="D72" s="9" t="s">
        <v>18</v>
      </c>
      <c r="G72" s="5"/>
    </row>
    <row r="73" spans="1:7" s="3" customFormat="1">
      <c r="B73" s="8"/>
      <c r="C73" s="9" t="s">
        <v>15</v>
      </c>
      <c r="D73" s="9" t="s">
        <v>21</v>
      </c>
      <c r="G73" s="5"/>
    </row>
    <row r="74" spans="1:7" s="3" customFormat="1">
      <c r="B74" s="8"/>
      <c r="C74" s="9" t="s">
        <v>19</v>
      </c>
      <c r="D74" s="9" t="s">
        <v>20</v>
      </c>
      <c r="G74" s="5"/>
    </row>
    <row r="75" spans="1:7" s="3" customFormat="1">
      <c r="B75" s="8"/>
      <c r="C75" s="9" t="s">
        <v>28</v>
      </c>
      <c r="D75" s="9"/>
      <c r="G75" s="5"/>
    </row>
    <row r="76" spans="1:7" s="3" customFormat="1">
      <c r="B76" s="8"/>
      <c r="C76" s="4"/>
      <c r="G76" s="5"/>
    </row>
    <row r="77" spans="1:7" s="3" customFormat="1" ht="14">
      <c r="B77" s="3" t="s">
        <v>22</v>
      </c>
      <c r="C77" s="4"/>
    </row>
    <row r="78" spans="1:7" s="3" customFormat="1" ht="14">
      <c r="C78" s="9" t="s">
        <v>25</v>
      </c>
    </row>
    <row r="79" spans="1:7" s="3" customFormat="1" ht="14">
      <c r="B79" s="7"/>
      <c r="C79" s="9" t="s">
        <v>26</v>
      </c>
    </row>
    <row r="80" spans="1:7" s="3" customFormat="1" ht="14">
      <c r="C80" s="9" t="s">
        <v>27</v>
      </c>
    </row>
    <row r="81" spans="1:8" s="3" customFormat="1" ht="14">
      <c r="B81" s="8"/>
    </row>
    <row r="82" spans="1:8" s="3" customFormat="1" ht="14">
      <c r="A82" s="3" t="s">
        <v>176</v>
      </c>
      <c r="B82" s="51" t="s">
        <v>177</v>
      </c>
    </row>
    <row r="84" spans="1:8" s="3" customFormat="1" ht="14">
      <c r="B84" s="3" t="s">
        <v>178</v>
      </c>
    </row>
    <row r="85" spans="1:8" s="3" customFormat="1" ht="14">
      <c r="C85" s="52" t="s">
        <v>184</v>
      </c>
    </row>
    <row r="86" spans="1:8" s="3" customFormat="1" ht="14">
      <c r="C86" s="52"/>
      <c r="D86" s="52" t="s">
        <v>187</v>
      </c>
    </row>
    <row r="87" spans="1:8" s="3" customFormat="1" ht="14">
      <c r="C87" s="52"/>
      <c r="D87" s="52" t="s">
        <v>188</v>
      </c>
    </row>
    <row r="88" spans="1:8" s="3" customFormat="1" ht="14">
      <c r="C88" s="52"/>
      <c r="D88" s="52"/>
    </row>
    <row r="89" spans="1:8" s="3" customFormat="1" ht="14">
      <c r="C89" s="52" t="s">
        <v>185</v>
      </c>
    </row>
    <row r="90" spans="1:8" s="3" customFormat="1" ht="14">
      <c r="C90" s="52" t="s">
        <v>186</v>
      </c>
    </row>
    <row r="91" spans="1:8" s="3" customFormat="1" ht="14"/>
    <row r="92" spans="1:8">
      <c r="C92" s="3"/>
      <c r="D92" s="3"/>
      <c r="E92" s="3"/>
      <c r="F92" s="3"/>
      <c r="G92" s="3"/>
      <c r="H92" s="3"/>
    </row>
    <row r="93" spans="1:8">
      <c r="A93" s="3"/>
      <c r="B93" s="3" t="s">
        <v>179</v>
      </c>
      <c r="C93" s="3"/>
      <c r="D93" s="3"/>
      <c r="E93" s="3"/>
      <c r="F93" s="3"/>
      <c r="G93" s="3"/>
      <c r="H93" s="3"/>
    </row>
    <row r="94" spans="1:8">
      <c r="A94" s="3"/>
      <c r="C94" s="3"/>
      <c r="D94" s="3"/>
      <c r="E94" s="3"/>
      <c r="F94" s="3"/>
      <c r="G94" s="3"/>
      <c r="H94" s="3"/>
    </row>
    <row r="95" spans="1:8">
      <c r="A95" s="3"/>
      <c r="B95" s="3"/>
      <c r="C95" s="3"/>
      <c r="D95" s="3"/>
      <c r="E95" s="3"/>
      <c r="F95" s="3"/>
      <c r="G95" s="3"/>
      <c r="H95" s="3"/>
    </row>
    <row r="96" spans="1:8">
      <c r="A96" s="3"/>
      <c r="B96" s="3" t="s">
        <v>180</v>
      </c>
      <c r="C96" s="3"/>
      <c r="D96" s="3"/>
      <c r="E96" s="3"/>
      <c r="F96" s="3"/>
      <c r="G96" s="5"/>
      <c r="H96" s="3"/>
    </row>
    <row r="97" spans="1:8">
      <c r="A97" s="3"/>
      <c r="B97" s="3"/>
      <c r="C97" s="3"/>
      <c r="D97" s="3"/>
      <c r="E97" s="3"/>
      <c r="F97" s="3"/>
      <c r="G97" s="5"/>
      <c r="H97" s="3"/>
    </row>
    <row r="98" spans="1:8">
      <c r="A98" s="3"/>
      <c r="B98" s="3"/>
      <c r="C98" s="3"/>
      <c r="D98" s="3"/>
      <c r="E98" s="3"/>
      <c r="F98" s="3"/>
      <c r="G98" s="5"/>
      <c r="H98" s="3"/>
    </row>
    <row r="99" spans="1:8">
      <c r="A99" s="3"/>
      <c r="B99" s="3" t="s">
        <v>181</v>
      </c>
      <c r="C99" s="3"/>
      <c r="D99" s="3"/>
      <c r="E99" s="3"/>
      <c r="F99" s="3"/>
      <c r="G99" s="5"/>
      <c r="H99" s="3"/>
    </row>
    <row r="100" spans="1:8">
      <c r="A100" s="3"/>
      <c r="B100" s="3"/>
      <c r="C100" s="3"/>
      <c r="D100" s="3"/>
      <c r="E100" s="3"/>
      <c r="F100" s="3"/>
      <c r="G100" s="5"/>
      <c r="H100" s="3"/>
    </row>
    <row r="101" spans="1:8">
      <c r="A101" s="3"/>
      <c r="B101" s="3"/>
      <c r="C101" s="3"/>
      <c r="D101" s="3"/>
      <c r="E101" s="3"/>
      <c r="F101" s="3"/>
      <c r="G101" s="3"/>
      <c r="H101" s="3"/>
    </row>
    <row r="102" spans="1:8">
      <c r="B102" s="3" t="s">
        <v>182</v>
      </c>
    </row>
    <row r="103" spans="1:8">
      <c r="B103" s="3"/>
    </row>
    <row r="104" spans="1:8">
      <c r="B104" s="3"/>
    </row>
    <row r="105" spans="1:8">
      <c r="B105" s="3" t="s">
        <v>183</v>
      </c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5F0C-CFFA-854B-8871-48ED3A41348A}">
  <dimension ref="A1:O127"/>
  <sheetViews>
    <sheetView topLeftCell="A107" zoomScale="120" zoomScaleNormal="120" workbookViewId="0">
      <selection activeCell="M131" sqref="M131"/>
    </sheetView>
  </sheetViews>
  <sheetFormatPr baseColWidth="10" defaultRowHeight="15"/>
  <sheetData>
    <row r="1" spans="1:3">
      <c r="A1" s="14" t="s">
        <v>35</v>
      </c>
      <c r="B1" s="15" t="s">
        <v>36</v>
      </c>
      <c r="C1" s="15" t="s">
        <v>37</v>
      </c>
    </row>
    <row r="2" spans="1:3">
      <c r="A2" s="16" t="s">
        <v>38</v>
      </c>
      <c r="B2" s="17">
        <v>30</v>
      </c>
      <c r="C2" s="17">
        <v>25</v>
      </c>
    </row>
    <row r="3" spans="1:3">
      <c r="A3" s="16" t="s">
        <v>39</v>
      </c>
      <c r="B3" s="17">
        <v>35</v>
      </c>
      <c r="C3" s="17">
        <v>30</v>
      </c>
    </row>
    <row r="4" spans="1:3">
      <c r="A4" s="16" t="s">
        <v>40</v>
      </c>
      <c r="B4" s="17">
        <v>28</v>
      </c>
      <c r="C4" s="17">
        <v>32</v>
      </c>
    </row>
    <row r="6" spans="1:3">
      <c r="A6" s="14" t="s">
        <v>35</v>
      </c>
      <c r="B6" s="14" t="s">
        <v>42</v>
      </c>
    </row>
    <row r="7" spans="1:3">
      <c r="A7" s="16" t="s">
        <v>38</v>
      </c>
      <c r="B7" s="17">
        <v>30</v>
      </c>
    </row>
    <row r="8" spans="1:3">
      <c r="A8" s="16" t="s">
        <v>39</v>
      </c>
      <c r="B8" s="17">
        <v>35</v>
      </c>
    </row>
    <row r="9" spans="1:3">
      <c r="A9" s="16" t="s">
        <v>40</v>
      </c>
      <c r="B9" s="17">
        <v>28</v>
      </c>
    </row>
    <row r="11" spans="1:3">
      <c r="A11" s="14"/>
      <c r="B11" s="14" t="s">
        <v>45</v>
      </c>
      <c r="C11" s="14" t="s">
        <v>46</v>
      </c>
    </row>
    <row r="12" spans="1:3">
      <c r="A12" s="16" t="s">
        <v>47</v>
      </c>
      <c r="B12" s="18">
        <v>1</v>
      </c>
      <c r="C12" s="18">
        <v>1</v>
      </c>
    </row>
    <row r="13" spans="1:3">
      <c r="A13" s="16" t="s">
        <v>48</v>
      </c>
      <c r="B13" s="18">
        <v>0.56000000000000005</v>
      </c>
      <c r="C13" s="18">
        <v>0.44</v>
      </c>
    </row>
    <row r="15" spans="1:3">
      <c r="A15" s="14" t="s">
        <v>49</v>
      </c>
      <c r="B15" s="14" t="s">
        <v>50</v>
      </c>
      <c r="C15" s="14" t="s">
        <v>51</v>
      </c>
    </row>
    <row r="16" spans="1:3">
      <c r="A16" s="16" t="s">
        <v>52</v>
      </c>
      <c r="B16" s="19">
        <v>1</v>
      </c>
      <c r="C16" s="19">
        <v>0.94</v>
      </c>
    </row>
    <row r="17" spans="1:4">
      <c r="A17" s="16" t="s">
        <v>53</v>
      </c>
      <c r="B17" s="19">
        <v>1</v>
      </c>
      <c r="C17" s="19">
        <v>0.76</v>
      </c>
    </row>
    <row r="18" spans="1:4">
      <c r="A18" s="16" t="s">
        <v>54</v>
      </c>
      <c r="B18" s="19">
        <v>1</v>
      </c>
      <c r="C18" s="19">
        <v>0.79</v>
      </c>
    </row>
    <row r="19" spans="1:4">
      <c r="A19" s="16" t="s">
        <v>55</v>
      </c>
      <c r="B19" s="19">
        <v>1</v>
      </c>
      <c r="C19" s="19">
        <v>0.8</v>
      </c>
    </row>
    <row r="20" spans="1:4">
      <c r="A20" s="16" t="s">
        <v>56</v>
      </c>
      <c r="B20" s="19">
        <v>1</v>
      </c>
      <c r="C20" s="19">
        <v>0.41</v>
      </c>
    </row>
    <row r="21" spans="1:4">
      <c r="A21" s="16" t="s">
        <v>57</v>
      </c>
      <c r="B21" s="19">
        <v>1</v>
      </c>
      <c r="C21" s="19">
        <v>0.34</v>
      </c>
    </row>
    <row r="22" spans="1:4">
      <c r="A22" s="16" t="s">
        <v>58</v>
      </c>
      <c r="B22" s="19">
        <v>1</v>
      </c>
      <c r="C22" s="19">
        <v>0.56999999999999995</v>
      </c>
    </row>
    <row r="23" spans="1:4">
      <c r="A23" s="16" t="s">
        <v>59</v>
      </c>
      <c r="B23" s="19">
        <v>1</v>
      </c>
      <c r="C23" s="19">
        <v>0.94</v>
      </c>
    </row>
    <row r="26" spans="1:4">
      <c r="A26" s="14" t="s">
        <v>35</v>
      </c>
      <c r="B26" s="15" t="s">
        <v>36</v>
      </c>
      <c r="C26" s="15" t="s">
        <v>37</v>
      </c>
      <c r="D26" s="15" t="s">
        <v>61</v>
      </c>
    </row>
    <row r="27" spans="1:4">
      <c r="A27" s="16" t="s">
        <v>38</v>
      </c>
      <c r="B27" s="17">
        <v>30</v>
      </c>
      <c r="C27" s="17">
        <v>25</v>
      </c>
      <c r="D27" s="18">
        <v>0.53</v>
      </c>
    </row>
    <row r="28" spans="1:4">
      <c r="A28" s="16" t="s">
        <v>39</v>
      </c>
      <c r="B28" s="17">
        <v>35</v>
      </c>
      <c r="C28" s="17">
        <v>30</v>
      </c>
      <c r="D28" s="18">
        <v>0.6</v>
      </c>
    </row>
    <row r="29" spans="1:4">
      <c r="A29" s="16" t="s">
        <v>40</v>
      </c>
      <c r="B29" s="17">
        <v>28</v>
      </c>
      <c r="C29" s="17">
        <v>32</v>
      </c>
      <c r="D29" s="18">
        <v>0.47</v>
      </c>
    </row>
    <row r="30" spans="1:4">
      <c r="A30" s="16" t="s">
        <v>62</v>
      </c>
      <c r="B30" s="17">
        <v>33</v>
      </c>
      <c r="C30" s="17">
        <v>35</v>
      </c>
      <c r="D30" s="18">
        <v>0.55000000000000004</v>
      </c>
    </row>
    <row r="33" spans="1:14">
      <c r="A33" s="14" t="s">
        <v>35</v>
      </c>
      <c r="B33" s="15" t="s">
        <v>38</v>
      </c>
      <c r="C33" s="15" t="s">
        <v>39</v>
      </c>
      <c r="D33" s="15" t="s">
        <v>40</v>
      </c>
    </row>
    <row r="34" spans="1:14">
      <c r="A34" s="16" t="s">
        <v>64</v>
      </c>
      <c r="B34" s="17">
        <v>30</v>
      </c>
      <c r="C34" s="17">
        <v>25</v>
      </c>
      <c r="D34" s="17">
        <v>37</v>
      </c>
    </row>
    <row r="35" spans="1:14">
      <c r="A35" s="16" t="s">
        <v>65</v>
      </c>
      <c r="B35" s="17">
        <v>35</v>
      </c>
      <c r="C35" s="17">
        <v>30</v>
      </c>
      <c r="D35" s="17">
        <v>29</v>
      </c>
    </row>
    <row r="36" spans="1:14">
      <c r="A36" s="16" t="s">
        <v>66</v>
      </c>
      <c r="B36" s="17">
        <v>28</v>
      </c>
      <c r="C36" s="17">
        <v>32</v>
      </c>
      <c r="D36" s="17">
        <v>27</v>
      </c>
    </row>
    <row r="39" spans="1:14">
      <c r="A39" s="14" t="s">
        <v>72</v>
      </c>
      <c r="B39" s="14" t="s">
        <v>73</v>
      </c>
      <c r="C39" s="14" t="s">
        <v>74</v>
      </c>
      <c r="D39" s="14" t="s">
        <v>75</v>
      </c>
      <c r="E39" s="14" t="s">
        <v>76</v>
      </c>
    </row>
    <row r="40" spans="1:14">
      <c r="A40" s="16" t="s">
        <v>52</v>
      </c>
      <c r="B40" s="24">
        <v>382</v>
      </c>
      <c r="C40" s="25">
        <f>MAX($B$40:$B$51)</f>
        <v>692</v>
      </c>
      <c r="D40" s="25">
        <f>MIN($B$40:$B$51)</f>
        <v>220</v>
      </c>
      <c r="E40" s="25">
        <v>200</v>
      </c>
    </row>
    <row r="41" spans="1:14">
      <c r="A41" s="16" t="s">
        <v>53</v>
      </c>
      <c r="B41" s="26">
        <v>222</v>
      </c>
      <c r="C41" s="25">
        <f t="shared" ref="C41:C51" si="0">MAX($B$40:$B$51)</f>
        <v>692</v>
      </c>
      <c r="D41" s="25">
        <f t="shared" ref="D41:D51" si="1">MIN($B$40:$B$51)</f>
        <v>220</v>
      </c>
      <c r="E41" s="17"/>
    </row>
    <row r="42" spans="1:14">
      <c r="A42" s="16" t="s">
        <v>54</v>
      </c>
      <c r="B42" s="26">
        <v>507</v>
      </c>
      <c r="C42" s="25">
        <f t="shared" si="0"/>
        <v>692</v>
      </c>
      <c r="D42" s="25">
        <f t="shared" si="1"/>
        <v>220</v>
      </c>
      <c r="E42" s="17"/>
    </row>
    <row r="43" spans="1:14">
      <c r="A43" s="16" t="s">
        <v>55</v>
      </c>
      <c r="B43" s="26">
        <v>582</v>
      </c>
      <c r="C43" s="25">
        <f t="shared" si="0"/>
        <v>692</v>
      </c>
      <c r="D43" s="25">
        <f t="shared" si="1"/>
        <v>220</v>
      </c>
      <c r="E43" s="17"/>
    </row>
    <row r="44" spans="1:14">
      <c r="A44" s="16" t="s">
        <v>56</v>
      </c>
      <c r="B44" s="26">
        <v>401</v>
      </c>
      <c r="C44" s="25">
        <f t="shared" si="0"/>
        <v>692</v>
      </c>
      <c r="D44" s="25">
        <f t="shared" si="1"/>
        <v>220</v>
      </c>
      <c r="E44" s="17"/>
    </row>
    <row r="45" spans="1:14">
      <c r="A45" s="16" t="s">
        <v>57</v>
      </c>
      <c r="B45" s="26">
        <v>334</v>
      </c>
      <c r="C45" s="25">
        <f t="shared" si="0"/>
        <v>692</v>
      </c>
      <c r="D45" s="25">
        <f t="shared" si="1"/>
        <v>220</v>
      </c>
      <c r="E45" s="17"/>
    </row>
    <row r="46" spans="1:14">
      <c r="A46" s="16" t="s">
        <v>58</v>
      </c>
      <c r="B46" s="26">
        <v>510</v>
      </c>
      <c r="C46" s="25">
        <f t="shared" si="0"/>
        <v>692</v>
      </c>
      <c r="D46" s="25">
        <f t="shared" si="1"/>
        <v>220</v>
      </c>
      <c r="E46" s="17"/>
      <c r="M46" s="27" t="s">
        <v>95</v>
      </c>
      <c r="N46" s="27" t="s">
        <v>96</v>
      </c>
    </row>
    <row r="47" spans="1:14">
      <c r="A47" s="16" t="s">
        <v>59</v>
      </c>
      <c r="B47" s="26">
        <v>220</v>
      </c>
      <c r="C47" s="25">
        <f t="shared" si="0"/>
        <v>692</v>
      </c>
      <c r="D47" s="25">
        <f t="shared" si="1"/>
        <v>220</v>
      </c>
      <c r="E47" s="17"/>
      <c r="M47" s="29">
        <v>1</v>
      </c>
      <c r="N47" s="29">
        <v>8.5</v>
      </c>
    </row>
    <row r="48" spans="1:14">
      <c r="A48" s="16" t="s">
        <v>77</v>
      </c>
      <c r="B48" s="26">
        <v>373</v>
      </c>
      <c r="C48" s="25">
        <f t="shared" si="0"/>
        <v>692</v>
      </c>
      <c r="D48" s="25">
        <f t="shared" si="1"/>
        <v>220</v>
      </c>
      <c r="E48" s="17"/>
      <c r="M48" s="29">
        <v>1</v>
      </c>
      <c r="N48" s="29">
        <f>24-N47</f>
        <v>15.5</v>
      </c>
    </row>
    <row r="49" spans="1:14">
      <c r="A49" s="16" t="s">
        <v>78</v>
      </c>
      <c r="B49" s="26">
        <v>439</v>
      </c>
      <c r="C49" s="25">
        <f t="shared" si="0"/>
        <v>692</v>
      </c>
      <c r="D49" s="25">
        <f t="shared" si="1"/>
        <v>220</v>
      </c>
      <c r="E49" s="17"/>
      <c r="M49" s="29">
        <v>1</v>
      </c>
      <c r="N49" s="21"/>
    </row>
    <row r="50" spans="1:14">
      <c r="A50" s="16" t="s">
        <v>79</v>
      </c>
      <c r="B50" s="26">
        <v>428</v>
      </c>
      <c r="C50" s="25">
        <f t="shared" si="0"/>
        <v>692</v>
      </c>
      <c r="D50" s="25">
        <f t="shared" si="1"/>
        <v>220</v>
      </c>
      <c r="E50" s="17"/>
      <c r="M50" s="29">
        <v>1</v>
      </c>
      <c r="N50" s="21"/>
    </row>
    <row r="51" spans="1:14">
      <c r="A51" s="16" t="s">
        <v>80</v>
      </c>
      <c r="B51" s="26">
        <v>692</v>
      </c>
      <c r="C51" s="25">
        <f t="shared" si="0"/>
        <v>692</v>
      </c>
      <c r="D51" s="25">
        <f t="shared" si="1"/>
        <v>220</v>
      </c>
      <c r="E51" s="17">
        <v>600</v>
      </c>
      <c r="M51" s="29">
        <v>1</v>
      </c>
      <c r="N51" s="21"/>
    </row>
    <row r="52" spans="1:14">
      <c r="M52" s="29">
        <v>1</v>
      </c>
      <c r="N52" s="21"/>
    </row>
    <row r="53" spans="1:14">
      <c r="M53" s="29">
        <v>1</v>
      </c>
      <c r="N53" s="21"/>
    </row>
    <row r="54" spans="1:14">
      <c r="A54" s="14" t="s">
        <v>72</v>
      </c>
      <c r="B54" s="14" t="s">
        <v>38</v>
      </c>
      <c r="C54" s="14" t="s">
        <v>39</v>
      </c>
      <c r="D54" s="14" t="s">
        <v>40</v>
      </c>
      <c r="F54" s="14" t="s">
        <v>72</v>
      </c>
      <c r="G54" s="14" t="s">
        <v>38</v>
      </c>
      <c r="H54" s="14" t="s">
        <v>38</v>
      </c>
      <c r="J54" s="27" t="s">
        <v>88</v>
      </c>
      <c r="K54" s="27" t="s">
        <v>89</v>
      </c>
      <c r="M54" s="29">
        <v>1</v>
      </c>
      <c r="N54" s="21"/>
    </row>
    <row r="55" spans="1:14">
      <c r="A55" s="16" t="s">
        <v>52</v>
      </c>
      <c r="B55" s="17">
        <v>158</v>
      </c>
      <c r="C55" s="17">
        <v>249</v>
      </c>
      <c r="D55" s="17">
        <v>82</v>
      </c>
      <c r="F55" s="16" t="s">
        <v>52</v>
      </c>
      <c r="G55" s="17">
        <v>158</v>
      </c>
      <c r="H55" s="17">
        <v>158</v>
      </c>
      <c r="J55" s="28" t="s">
        <v>90</v>
      </c>
      <c r="K55" s="28">
        <v>1528</v>
      </c>
      <c r="M55" s="29">
        <v>1</v>
      </c>
      <c r="N55" s="21"/>
    </row>
    <row r="56" spans="1:14">
      <c r="A56" s="16" t="s">
        <v>53</v>
      </c>
      <c r="B56" s="17">
        <v>75</v>
      </c>
      <c r="C56" s="17">
        <v>404</v>
      </c>
      <c r="D56" s="17">
        <v>270</v>
      </c>
      <c r="F56" s="16" t="s">
        <v>53</v>
      </c>
      <c r="G56" s="17">
        <v>75</v>
      </c>
      <c r="H56" s="17">
        <v>75</v>
      </c>
      <c r="J56" s="28" t="s">
        <v>91</v>
      </c>
      <c r="K56" s="28">
        <v>1325</v>
      </c>
      <c r="M56" s="29">
        <v>1</v>
      </c>
      <c r="N56" s="21"/>
    </row>
    <row r="57" spans="1:14">
      <c r="A57" s="16" t="s">
        <v>54</v>
      </c>
      <c r="B57" s="17">
        <v>141</v>
      </c>
      <c r="C57" s="17">
        <v>119</v>
      </c>
      <c r="D57" s="17">
        <v>226</v>
      </c>
      <c r="F57" s="16" t="s">
        <v>54</v>
      </c>
      <c r="G57" s="17">
        <v>141</v>
      </c>
      <c r="H57" s="17">
        <v>141</v>
      </c>
      <c r="J57" s="28" t="s">
        <v>92</v>
      </c>
      <c r="K57" s="28">
        <v>1375</v>
      </c>
      <c r="M57" s="29">
        <v>1</v>
      </c>
      <c r="N57" s="21"/>
    </row>
    <row r="58" spans="1:14">
      <c r="A58" s="16" t="s">
        <v>55</v>
      </c>
      <c r="B58" s="17">
        <v>39</v>
      </c>
      <c r="C58" s="17">
        <v>56</v>
      </c>
      <c r="D58" s="17">
        <v>52</v>
      </c>
      <c r="F58" s="16" t="s">
        <v>55</v>
      </c>
      <c r="G58" s="17">
        <v>39</v>
      </c>
      <c r="H58" s="17">
        <v>39</v>
      </c>
      <c r="M58" s="29">
        <v>1</v>
      </c>
      <c r="N58" s="21"/>
    </row>
    <row r="59" spans="1:14">
      <c r="A59" s="16" t="s">
        <v>56</v>
      </c>
      <c r="B59" s="17">
        <v>33</v>
      </c>
      <c r="C59" s="17">
        <v>30</v>
      </c>
      <c r="D59" s="17">
        <v>56</v>
      </c>
      <c r="F59" s="16" t="s">
        <v>56</v>
      </c>
      <c r="G59" s="17">
        <v>33</v>
      </c>
      <c r="H59" s="17">
        <v>33</v>
      </c>
      <c r="J59" s="27" t="s">
        <v>88</v>
      </c>
      <c r="K59" s="27" t="s">
        <v>89</v>
      </c>
      <c r="M59" s="29">
        <v>1</v>
      </c>
      <c r="N59" s="21"/>
    </row>
    <row r="60" spans="1:14">
      <c r="A60" s="16" t="s">
        <v>57</v>
      </c>
      <c r="B60" s="17">
        <v>108</v>
      </c>
      <c r="C60" s="17">
        <v>145</v>
      </c>
      <c r="D60" s="17">
        <v>63</v>
      </c>
      <c r="F60" s="16" t="s">
        <v>57</v>
      </c>
      <c r="G60" s="17">
        <v>108</v>
      </c>
      <c r="H60" s="17">
        <v>108</v>
      </c>
      <c r="J60" s="28" t="s">
        <v>90</v>
      </c>
      <c r="K60" s="28">
        <v>1528</v>
      </c>
      <c r="M60" s="29">
        <v>1</v>
      </c>
      <c r="N60" s="21"/>
    </row>
    <row r="61" spans="1:14">
      <c r="A61" s="16" t="s">
        <v>58</v>
      </c>
      <c r="B61" s="17">
        <v>138</v>
      </c>
      <c r="C61" s="17">
        <v>52</v>
      </c>
      <c r="D61" s="17">
        <v>91</v>
      </c>
      <c r="F61" s="16" t="s">
        <v>58</v>
      </c>
      <c r="G61" s="17">
        <v>138</v>
      </c>
      <c r="H61" s="17">
        <v>138</v>
      </c>
      <c r="J61" s="28" t="s">
        <v>91</v>
      </c>
      <c r="K61" s="28">
        <v>1325</v>
      </c>
      <c r="M61" s="29">
        <v>1</v>
      </c>
      <c r="N61" s="21"/>
    </row>
    <row r="62" spans="1:14">
      <c r="A62" s="16" t="s">
        <v>59</v>
      </c>
      <c r="B62" s="17">
        <v>56</v>
      </c>
      <c r="C62" s="17">
        <v>155</v>
      </c>
      <c r="D62" s="17">
        <v>185</v>
      </c>
      <c r="F62" s="16" t="s">
        <v>59</v>
      </c>
      <c r="G62" s="17">
        <v>56</v>
      </c>
      <c r="H62" s="17">
        <v>56</v>
      </c>
      <c r="J62" s="28" t="s">
        <v>92</v>
      </c>
      <c r="K62" s="28">
        <v>1375</v>
      </c>
      <c r="M62" s="29">
        <v>1</v>
      </c>
      <c r="N62" s="21"/>
    </row>
    <row r="63" spans="1:14">
      <c r="A63" s="16" t="s">
        <v>77</v>
      </c>
      <c r="B63" s="17">
        <v>99</v>
      </c>
      <c r="C63" s="17">
        <v>102</v>
      </c>
      <c r="D63" s="17">
        <v>105</v>
      </c>
      <c r="F63" s="16" t="s">
        <v>77</v>
      </c>
      <c r="G63" s="17">
        <v>99</v>
      </c>
      <c r="H63" s="17">
        <v>99</v>
      </c>
      <c r="J63" s="28" t="s">
        <v>52</v>
      </c>
      <c r="K63" s="28">
        <v>559</v>
      </c>
      <c r="M63" s="29">
        <v>1</v>
      </c>
      <c r="N63" s="21"/>
    </row>
    <row r="64" spans="1:14">
      <c r="A64" s="16" t="s">
        <v>78</v>
      </c>
      <c r="B64" s="17">
        <v>91</v>
      </c>
      <c r="C64" s="17">
        <v>163</v>
      </c>
      <c r="D64" s="17">
        <v>53</v>
      </c>
      <c r="F64" s="16" t="s">
        <v>78</v>
      </c>
      <c r="G64" s="17">
        <v>91</v>
      </c>
      <c r="H64" s="17">
        <v>91</v>
      </c>
      <c r="J64" s="28" t="s">
        <v>53</v>
      </c>
      <c r="K64" s="28">
        <v>506</v>
      </c>
      <c r="M64" s="29">
        <v>1</v>
      </c>
      <c r="N64" s="21"/>
    </row>
    <row r="65" spans="1:14">
      <c r="A65" s="16" t="s">
        <v>79</v>
      </c>
      <c r="B65" s="17">
        <v>80</v>
      </c>
      <c r="C65" s="17">
        <v>163</v>
      </c>
      <c r="D65" s="17">
        <v>93</v>
      </c>
      <c r="F65" s="16" t="s">
        <v>79</v>
      </c>
      <c r="G65" s="17">
        <v>80</v>
      </c>
      <c r="H65" s="17">
        <v>80</v>
      </c>
      <c r="J65" s="28" t="s">
        <v>54</v>
      </c>
      <c r="K65" s="28">
        <v>463</v>
      </c>
      <c r="M65" s="29">
        <v>1</v>
      </c>
      <c r="N65" s="21"/>
    </row>
    <row r="66" spans="1:14">
      <c r="A66" s="16" t="s">
        <v>80</v>
      </c>
      <c r="B66" s="17">
        <v>306</v>
      </c>
      <c r="C66" s="17">
        <v>168</v>
      </c>
      <c r="D66" s="17">
        <v>241</v>
      </c>
      <c r="F66" s="16" t="s">
        <v>80</v>
      </c>
      <c r="G66" s="17">
        <v>306</v>
      </c>
      <c r="H66" s="17">
        <v>306</v>
      </c>
      <c r="J66" s="28" t="s">
        <v>55</v>
      </c>
      <c r="K66" s="28">
        <v>385</v>
      </c>
      <c r="M66" s="29">
        <v>1</v>
      </c>
      <c r="N66" s="21"/>
    </row>
    <row r="67" spans="1:14">
      <c r="M67" s="29">
        <v>1</v>
      </c>
      <c r="N67" s="21"/>
    </row>
    <row r="68" spans="1:14">
      <c r="M68" s="29">
        <v>1</v>
      </c>
      <c r="N68" s="21"/>
    </row>
    <row r="69" spans="1:14">
      <c r="A69" s="14" t="s">
        <v>72</v>
      </c>
      <c r="B69" s="14" t="s">
        <v>38</v>
      </c>
      <c r="C69" s="14" t="s">
        <v>39</v>
      </c>
      <c r="D69" s="14" t="s">
        <v>40</v>
      </c>
      <c r="E69" s="14" t="s">
        <v>101</v>
      </c>
      <c r="G69" s="14"/>
      <c r="H69" s="14" t="s">
        <v>103</v>
      </c>
      <c r="I69" s="14" t="s">
        <v>102</v>
      </c>
      <c r="M69" s="29">
        <v>1</v>
      </c>
      <c r="N69" s="21"/>
    </row>
    <row r="70" spans="1:14">
      <c r="A70" s="16" t="s">
        <v>52</v>
      </c>
      <c r="B70" s="17">
        <v>158</v>
      </c>
      <c r="C70" s="17">
        <v>249</v>
      </c>
      <c r="D70" s="17">
        <v>82</v>
      </c>
      <c r="E70" s="17">
        <f t="shared" ref="E70:E78" si="2">SUM(B70:D70)</f>
        <v>489</v>
      </c>
      <c r="G70" s="31" t="s">
        <v>104</v>
      </c>
      <c r="H70" s="30">
        <v>41760</v>
      </c>
      <c r="I70" s="31">
        <v>5</v>
      </c>
      <c r="M70" s="29">
        <v>1</v>
      </c>
    </row>
    <row r="71" spans="1:14">
      <c r="A71" s="16" t="s">
        <v>53</v>
      </c>
      <c r="B71" s="17">
        <v>75</v>
      </c>
      <c r="C71" s="17">
        <v>404</v>
      </c>
      <c r="D71" s="17">
        <v>270</v>
      </c>
      <c r="E71" s="17">
        <f t="shared" si="2"/>
        <v>749</v>
      </c>
      <c r="G71" s="31" t="s">
        <v>105</v>
      </c>
      <c r="H71" s="30">
        <v>41763</v>
      </c>
      <c r="I71" s="31">
        <v>3</v>
      </c>
    </row>
    <row r="72" spans="1:14">
      <c r="A72" s="16" t="s">
        <v>54</v>
      </c>
      <c r="B72" s="17">
        <v>141</v>
      </c>
      <c r="C72" s="17">
        <v>119</v>
      </c>
      <c r="D72" s="17">
        <v>226</v>
      </c>
      <c r="E72" s="17">
        <f t="shared" si="2"/>
        <v>486</v>
      </c>
      <c r="G72" s="31" t="s">
        <v>106</v>
      </c>
      <c r="H72" s="30">
        <v>41765</v>
      </c>
      <c r="I72" s="31">
        <v>3</v>
      </c>
    </row>
    <row r="73" spans="1:14">
      <c r="A73" s="16" t="s">
        <v>55</v>
      </c>
      <c r="B73" s="17">
        <v>39</v>
      </c>
      <c r="C73" s="17">
        <v>56</v>
      </c>
      <c r="D73" s="17">
        <v>52</v>
      </c>
      <c r="E73" s="17">
        <f t="shared" si="2"/>
        <v>147</v>
      </c>
      <c r="G73" s="31" t="s">
        <v>107</v>
      </c>
      <c r="H73" s="30">
        <v>41767</v>
      </c>
      <c r="I73" s="31">
        <v>1</v>
      </c>
      <c r="L73" s="33" t="s">
        <v>115</v>
      </c>
      <c r="M73" s="33" t="s">
        <v>116</v>
      </c>
      <c r="N73" s="33" t="s">
        <v>117</v>
      </c>
    </row>
    <row r="74" spans="1:14">
      <c r="A74" s="16" t="s">
        <v>56</v>
      </c>
      <c r="B74" s="17">
        <v>33</v>
      </c>
      <c r="C74" s="17">
        <v>30</v>
      </c>
      <c r="D74" s="17">
        <v>56</v>
      </c>
      <c r="E74" s="17">
        <f t="shared" si="2"/>
        <v>119</v>
      </c>
      <c r="G74" s="31" t="s">
        <v>108</v>
      </c>
      <c r="H74" s="30">
        <v>41768</v>
      </c>
      <c r="I74" s="31">
        <v>10</v>
      </c>
      <c r="L74" s="34" t="s">
        <v>118</v>
      </c>
      <c r="M74" s="34">
        <v>76</v>
      </c>
      <c r="N74" s="35">
        <v>0.85699999999999998</v>
      </c>
    </row>
    <row r="75" spans="1:14">
      <c r="A75" s="16" t="s">
        <v>57</v>
      </c>
      <c r="B75" s="17">
        <v>108</v>
      </c>
      <c r="C75" s="17">
        <v>145</v>
      </c>
      <c r="D75" s="17">
        <v>63</v>
      </c>
      <c r="E75" s="17">
        <f t="shared" si="2"/>
        <v>316</v>
      </c>
      <c r="G75" s="31" t="s">
        <v>109</v>
      </c>
      <c r="H75" s="30">
        <v>41778</v>
      </c>
      <c r="I75" s="31">
        <v>5</v>
      </c>
      <c r="L75" s="34" t="s">
        <v>119</v>
      </c>
      <c r="M75" s="34">
        <v>88</v>
      </c>
      <c r="N75" s="35">
        <v>0.89200000000000002</v>
      </c>
    </row>
    <row r="76" spans="1:14">
      <c r="A76" s="16" t="s">
        <v>58</v>
      </c>
      <c r="B76" s="17">
        <v>138</v>
      </c>
      <c r="C76" s="17">
        <v>52</v>
      </c>
      <c r="D76" s="17">
        <v>91</v>
      </c>
      <c r="E76" s="17">
        <f t="shared" si="2"/>
        <v>281</v>
      </c>
      <c r="G76" s="31" t="s">
        <v>110</v>
      </c>
      <c r="H76" s="30">
        <v>41782</v>
      </c>
      <c r="I76" s="31">
        <v>3</v>
      </c>
      <c r="L76" s="34" t="s">
        <v>120</v>
      </c>
      <c r="M76" s="34">
        <v>85</v>
      </c>
      <c r="N76" s="35">
        <v>0.86399999999999999</v>
      </c>
    </row>
    <row r="77" spans="1:14">
      <c r="A77" s="16" t="s">
        <v>59</v>
      </c>
      <c r="B77" s="17">
        <v>56</v>
      </c>
      <c r="C77" s="17">
        <v>155</v>
      </c>
      <c r="D77" s="17">
        <v>185</v>
      </c>
      <c r="E77" s="17">
        <f t="shared" si="2"/>
        <v>396</v>
      </c>
      <c r="G77" s="31" t="s">
        <v>111</v>
      </c>
      <c r="H77" s="30">
        <v>41785</v>
      </c>
      <c r="I77" s="31">
        <v>5</v>
      </c>
      <c r="L77" s="34" t="s">
        <v>121</v>
      </c>
      <c r="M77" s="34">
        <v>89</v>
      </c>
      <c r="N77" s="35">
        <v>0.95</v>
      </c>
    </row>
    <row r="78" spans="1:14">
      <c r="A78" s="16" t="s">
        <v>77</v>
      </c>
      <c r="B78" s="17">
        <v>99</v>
      </c>
      <c r="C78" s="17">
        <v>102</v>
      </c>
      <c r="D78" s="17">
        <v>105</v>
      </c>
      <c r="E78" s="17">
        <f t="shared" si="2"/>
        <v>306</v>
      </c>
      <c r="L78" s="34" t="s">
        <v>122</v>
      </c>
      <c r="M78" s="34">
        <v>88</v>
      </c>
      <c r="N78" s="35">
        <v>0.92600000000000005</v>
      </c>
    </row>
    <row r="79" spans="1:14">
      <c r="K79" s="32"/>
    </row>
    <row r="80" spans="1:14">
      <c r="K80" s="32"/>
    </row>
    <row r="81" spans="1:15">
      <c r="A81" s="36" t="s">
        <v>115</v>
      </c>
      <c r="B81" s="36" t="s">
        <v>116</v>
      </c>
      <c r="C81" s="36" t="s">
        <v>117</v>
      </c>
    </row>
    <row r="82" spans="1:15">
      <c r="A82" s="34" t="s">
        <v>118</v>
      </c>
      <c r="B82" s="34">
        <v>76</v>
      </c>
      <c r="C82" s="35">
        <v>0.85699999999999998</v>
      </c>
    </row>
    <row r="83" spans="1:15">
      <c r="A83" s="34" t="s">
        <v>119</v>
      </c>
      <c r="B83" s="34">
        <v>88</v>
      </c>
      <c r="C83" s="35">
        <v>0.89200000000000002</v>
      </c>
      <c r="G83" s="39"/>
      <c r="H83" s="39" t="s">
        <v>124</v>
      </c>
      <c r="I83" s="39" t="s">
        <v>125</v>
      </c>
    </row>
    <row r="84" spans="1:15">
      <c r="A84" s="34" t="s">
        <v>120</v>
      </c>
      <c r="B84" s="34">
        <v>85</v>
      </c>
      <c r="C84" s="35">
        <v>0.86399999999999999</v>
      </c>
      <c r="G84" s="37" t="s">
        <v>126</v>
      </c>
      <c r="H84" s="38">
        <v>0.32</v>
      </c>
      <c r="I84" s="38">
        <f t="shared" ref="I84:I89" si="3">1-H84</f>
        <v>0.67999999999999994</v>
      </c>
    </row>
    <row r="85" spans="1:15">
      <c r="A85" s="34" t="s">
        <v>121</v>
      </c>
      <c r="B85" s="34">
        <v>89</v>
      </c>
      <c r="C85" s="35">
        <v>0.95</v>
      </c>
      <c r="G85" s="37" t="s">
        <v>127</v>
      </c>
      <c r="H85" s="38">
        <v>0.55000000000000004</v>
      </c>
      <c r="I85" s="38">
        <f t="shared" si="3"/>
        <v>0.44999999999999996</v>
      </c>
    </row>
    <row r="86" spans="1:15">
      <c r="A86" s="34" t="s">
        <v>122</v>
      </c>
      <c r="B86" s="34">
        <v>88</v>
      </c>
      <c r="C86" s="35">
        <v>0.92600000000000005</v>
      </c>
      <c r="G86" s="37" t="s">
        <v>128</v>
      </c>
      <c r="H86" s="38">
        <v>0.6</v>
      </c>
      <c r="I86" s="38">
        <f t="shared" si="3"/>
        <v>0.4</v>
      </c>
    </row>
    <row r="87" spans="1:15">
      <c r="G87" s="37" t="s">
        <v>129</v>
      </c>
      <c r="H87" s="38">
        <v>0.73</v>
      </c>
      <c r="I87" s="38">
        <f t="shared" si="3"/>
        <v>0.27</v>
      </c>
      <c r="L87" s="14" t="s">
        <v>35</v>
      </c>
      <c r="M87" s="15" t="s">
        <v>73</v>
      </c>
      <c r="N87" s="15" t="s">
        <v>74</v>
      </c>
      <c r="O87" s="15" t="s">
        <v>75</v>
      </c>
    </row>
    <row r="88" spans="1:15">
      <c r="G88" s="37" t="s">
        <v>130</v>
      </c>
      <c r="H88" s="38">
        <v>0.82</v>
      </c>
      <c r="I88" s="38">
        <f t="shared" si="3"/>
        <v>0.18000000000000005</v>
      </c>
      <c r="L88" s="16" t="s">
        <v>64</v>
      </c>
      <c r="M88" s="17">
        <v>26</v>
      </c>
      <c r="N88" s="17" t="e">
        <f>IF(MAX($M$88:$M$96)=M88,M88,NA())</f>
        <v>#N/A</v>
      </c>
      <c r="O88" s="17" t="e">
        <f>IF(MIN($M$88:$M$96)=M88,M88,NA())</f>
        <v>#N/A</v>
      </c>
    </row>
    <row r="89" spans="1:15">
      <c r="G89" s="37" t="s">
        <v>131</v>
      </c>
      <c r="H89" s="38">
        <v>0.76</v>
      </c>
      <c r="I89" s="38">
        <f t="shared" si="3"/>
        <v>0.24</v>
      </c>
      <c r="L89" s="16" t="s">
        <v>65</v>
      </c>
      <c r="M89" s="17">
        <v>23</v>
      </c>
      <c r="N89" s="17" t="e">
        <f t="shared" ref="N89:N96" si="4">IF(MAX($M$88:$M$96)=M89,M89,NA())</f>
        <v>#N/A</v>
      </c>
      <c r="O89" s="17" t="e">
        <f t="shared" ref="O89:O96" si="5">IF(MIN($M$88:$M$96)=M89,M89,NA())</f>
        <v>#N/A</v>
      </c>
    </row>
    <row r="90" spans="1:15">
      <c r="L90" s="16" t="s">
        <v>66</v>
      </c>
      <c r="M90" s="17">
        <v>21</v>
      </c>
      <c r="N90" s="17" t="e">
        <f t="shared" si="4"/>
        <v>#N/A</v>
      </c>
      <c r="O90" s="17">
        <f t="shared" si="5"/>
        <v>21</v>
      </c>
    </row>
    <row r="91" spans="1:15">
      <c r="L91" s="16" t="s">
        <v>135</v>
      </c>
      <c r="M91" s="17">
        <v>37</v>
      </c>
      <c r="N91" s="17" t="e">
        <f t="shared" si="4"/>
        <v>#N/A</v>
      </c>
      <c r="O91" s="17" t="e">
        <f t="shared" si="5"/>
        <v>#N/A</v>
      </c>
    </row>
    <row r="92" spans="1:15">
      <c r="L92" s="16" t="s">
        <v>136</v>
      </c>
      <c r="M92" s="17">
        <v>39</v>
      </c>
      <c r="N92" s="17">
        <f t="shared" si="4"/>
        <v>39</v>
      </c>
      <c r="O92" s="17" t="e">
        <f t="shared" si="5"/>
        <v>#N/A</v>
      </c>
    </row>
    <row r="93" spans="1:15">
      <c r="L93" s="16" t="s">
        <v>137</v>
      </c>
      <c r="M93" s="17">
        <v>28</v>
      </c>
      <c r="N93" s="17" t="e">
        <f t="shared" si="4"/>
        <v>#N/A</v>
      </c>
      <c r="O93" s="17" t="e">
        <f t="shared" si="5"/>
        <v>#N/A</v>
      </c>
    </row>
    <row r="94" spans="1:15">
      <c r="L94" s="16" t="s">
        <v>138</v>
      </c>
      <c r="M94" s="17">
        <v>33</v>
      </c>
      <c r="N94" s="17" t="e">
        <f t="shared" si="4"/>
        <v>#N/A</v>
      </c>
      <c r="O94" s="17" t="e">
        <f t="shared" si="5"/>
        <v>#N/A</v>
      </c>
    </row>
    <row r="95" spans="1:15">
      <c r="L95" s="16" t="s">
        <v>139</v>
      </c>
      <c r="M95" s="17">
        <v>35</v>
      </c>
      <c r="N95" s="17" t="e">
        <f t="shared" si="4"/>
        <v>#N/A</v>
      </c>
      <c r="O95" s="17" t="e">
        <f t="shared" si="5"/>
        <v>#N/A</v>
      </c>
    </row>
    <row r="96" spans="1:15">
      <c r="L96" s="16" t="s">
        <v>140</v>
      </c>
      <c r="M96" s="17">
        <v>38</v>
      </c>
      <c r="N96" s="17" t="e">
        <f t="shared" si="4"/>
        <v>#N/A</v>
      </c>
      <c r="O96" s="17" t="e">
        <f t="shared" si="5"/>
        <v>#N/A</v>
      </c>
    </row>
    <row r="100" spans="1:8">
      <c r="G100" s="40" t="s">
        <v>141</v>
      </c>
      <c r="H100" s="40" t="s">
        <v>152</v>
      </c>
    </row>
    <row r="101" spans="1:8">
      <c r="A101" s="14" t="s">
        <v>35</v>
      </c>
      <c r="B101" s="15" t="s">
        <v>73</v>
      </c>
      <c r="G101" s="21" t="s">
        <v>142</v>
      </c>
      <c r="H101" s="21">
        <v>1</v>
      </c>
    </row>
    <row r="102" spans="1:8">
      <c r="A102" s="16" t="s">
        <v>64</v>
      </c>
      <c r="B102" s="17">
        <v>26</v>
      </c>
      <c r="G102" s="21" t="s">
        <v>143</v>
      </c>
      <c r="H102" s="21">
        <v>5</v>
      </c>
    </row>
    <row r="103" spans="1:8">
      <c r="A103" s="16" t="s">
        <v>65</v>
      </c>
      <c r="B103" s="17">
        <v>23</v>
      </c>
      <c r="G103" s="21" t="s">
        <v>144</v>
      </c>
      <c r="H103" s="21">
        <v>3</v>
      </c>
    </row>
    <row r="104" spans="1:8">
      <c r="A104" s="16" t="s">
        <v>66</v>
      </c>
      <c r="B104" s="17">
        <v>21</v>
      </c>
      <c r="G104" s="21" t="s">
        <v>145</v>
      </c>
      <c r="H104" s="21">
        <v>1</v>
      </c>
    </row>
    <row r="105" spans="1:8">
      <c r="A105" s="16" t="s">
        <v>135</v>
      </c>
      <c r="B105" s="17">
        <v>37</v>
      </c>
      <c r="G105" s="21" t="s">
        <v>146</v>
      </c>
      <c r="H105" s="21">
        <v>5</v>
      </c>
    </row>
    <row r="106" spans="1:8">
      <c r="A106" s="16" t="s">
        <v>136</v>
      </c>
      <c r="B106" s="17">
        <v>39</v>
      </c>
      <c r="G106" s="21" t="s">
        <v>147</v>
      </c>
      <c r="H106" s="21">
        <v>7</v>
      </c>
    </row>
    <row r="107" spans="1:8">
      <c r="A107" s="16" t="s">
        <v>137</v>
      </c>
      <c r="B107" s="17">
        <v>28</v>
      </c>
      <c r="G107" s="21" t="s">
        <v>148</v>
      </c>
      <c r="H107" s="21">
        <v>3</v>
      </c>
    </row>
    <row r="108" spans="1:8">
      <c r="A108" s="16" t="s">
        <v>138</v>
      </c>
      <c r="B108" s="17">
        <v>33</v>
      </c>
      <c r="G108" s="21" t="s">
        <v>149</v>
      </c>
      <c r="H108" s="21">
        <v>6</v>
      </c>
    </row>
    <row r="109" spans="1:8">
      <c r="A109" s="16" t="s">
        <v>139</v>
      </c>
      <c r="B109" s="17">
        <v>35</v>
      </c>
      <c r="G109" s="21" t="s">
        <v>150</v>
      </c>
      <c r="H109" s="21">
        <v>2</v>
      </c>
    </row>
    <row r="110" spans="1:8">
      <c r="A110" s="16" t="s">
        <v>140</v>
      </c>
      <c r="B110" s="17">
        <v>38</v>
      </c>
      <c r="G110" s="21" t="s">
        <v>151</v>
      </c>
      <c r="H110" s="21">
        <v>4</v>
      </c>
    </row>
    <row r="111" spans="1:8">
      <c r="H111" s="21"/>
    </row>
    <row r="115" spans="1:9">
      <c r="A115" s="14" t="s">
        <v>156</v>
      </c>
      <c r="B115" s="15" t="s">
        <v>157</v>
      </c>
      <c r="C115" s="15" t="s">
        <v>73</v>
      </c>
    </row>
    <row r="116" spans="1:9">
      <c r="A116" s="16" t="s">
        <v>158</v>
      </c>
      <c r="B116" s="41">
        <v>45.6</v>
      </c>
      <c r="C116" s="41">
        <v>55284.087500000001</v>
      </c>
    </row>
    <row r="117" spans="1:9">
      <c r="A117" s="16" t="s">
        <v>159</v>
      </c>
      <c r="B117" s="41">
        <v>145</v>
      </c>
      <c r="C117" s="41">
        <v>137464.85999999999</v>
      </c>
    </row>
    <row r="118" spans="1:9">
      <c r="A118" s="16" t="s">
        <v>160</v>
      </c>
      <c r="B118" s="41">
        <v>62.5</v>
      </c>
      <c r="C118" s="41">
        <v>55334.36</v>
      </c>
    </row>
    <row r="119" spans="1:9">
      <c r="A119" s="16" t="s">
        <v>161</v>
      </c>
      <c r="B119" s="41">
        <v>38</v>
      </c>
      <c r="C119" s="41">
        <v>34858.978000000003</v>
      </c>
      <c r="G119" s="42" t="s">
        <v>156</v>
      </c>
      <c r="H119" s="42" t="s">
        <v>166</v>
      </c>
      <c r="I119" s="42" t="s">
        <v>167</v>
      </c>
    </row>
    <row r="120" spans="1:9">
      <c r="A120" s="16" t="s">
        <v>162</v>
      </c>
      <c r="B120" s="41">
        <v>97</v>
      </c>
      <c r="C120" s="41">
        <v>53480.317499999997</v>
      </c>
      <c r="G120" s="43" t="s">
        <v>168</v>
      </c>
      <c r="H120" s="44">
        <v>1449</v>
      </c>
      <c r="I120" s="45">
        <v>0.17599999999999999</v>
      </c>
    </row>
    <row r="121" spans="1:9">
      <c r="A121" s="16" t="s">
        <v>163</v>
      </c>
      <c r="B121" s="41">
        <v>123.79</v>
      </c>
      <c r="C121" s="41">
        <v>78186.891000000003</v>
      </c>
      <c r="G121" s="46" t="s">
        <v>169</v>
      </c>
      <c r="H121" s="44">
        <v>860</v>
      </c>
      <c r="I121" s="45">
        <v>0.27900000000000003</v>
      </c>
    </row>
    <row r="122" spans="1:9">
      <c r="A122" s="16" t="s">
        <v>164</v>
      </c>
      <c r="B122" s="41">
        <v>81</v>
      </c>
      <c r="C122" s="41">
        <v>51758.66</v>
      </c>
      <c r="G122" s="47" t="s">
        <v>170</v>
      </c>
      <c r="H122" s="44">
        <v>1165</v>
      </c>
      <c r="I122" s="45">
        <v>0.114</v>
      </c>
    </row>
    <row r="123" spans="1:9">
      <c r="G123" s="48" t="s">
        <v>171</v>
      </c>
      <c r="H123" s="44">
        <v>719</v>
      </c>
      <c r="I123" s="45">
        <v>0.09</v>
      </c>
    </row>
    <row r="124" spans="1:9">
      <c r="G124" s="49" t="s">
        <v>172</v>
      </c>
      <c r="H124" s="44">
        <v>1430</v>
      </c>
      <c r="I124" s="45">
        <v>5.2999999999999999E-2</v>
      </c>
    </row>
    <row r="125" spans="1:9">
      <c r="G125" s="50" t="s">
        <v>173</v>
      </c>
      <c r="H125" s="44">
        <v>1350</v>
      </c>
      <c r="I125" s="45">
        <v>0.253</v>
      </c>
    </row>
    <row r="126" spans="1:9">
      <c r="G126" s="49" t="s">
        <v>174</v>
      </c>
      <c r="H126" s="44">
        <v>750</v>
      </c>
      <c r="I126" s="45">
        <v>6.3E-2</v>
      </c>
    </row>
    <row r="127" spans="1:9">
      <c r="G127" s="49" t="s">
        <v>175</v>
      </c>
      <c r="H127" s="44">
        <v>1700</v>
      </c>
      <c r="I127" s="45">
        <v>0.13200000000000001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A2384-4132-C24C-9A85-82E90AE19F3C}">
  <dimension ref="A1:E17"/>
  <sheetViews>
    <sheetView zoomScale="150" zoomScaleNormal="150" workbookViewId="0">
      <selection activeCell="C10" sqref="C10"/>
    </sheetView>
  </sheetViews>
  <sheetFormatPr baseColWidth="10" defaultRowHeight="15"/>
  <sheetData>
    <row r="1" spans="1:5">
      <c r="A1" s="10" t="s">
        <v>23</v>
      </c>
      <c r="B1" s="10" t="s">
        <v>24</v>
      </c>
      <c r="D1" s="11">
        <v>44365</v>
      </c>
      <c r="E1" s="12">
        <v>2090.94</v>
      </c>
    </row>
    <row r="2" spans="1:5">
      <c r="A2" s="11">
        <v>44351</v>
      </c>
      <c r="B2" s="12">
        <v>2251.5</v>
      </c>
      <c r="D2" s="11">
        <v>44368</v>
      </c>
      <c r="E2" s="12">
        <v>2081.64</v>
      </c>
    </row>
    <row r="3" spans="1:5">
      <c r="A3" s="11">
        <v>44354</v>
      </c>
      <c r="B3" s="12">
        <v>2271</v>
      </c>
      <c r="D3" s="11">
        <v>44369</v>
      </c>
      <c r="E3" s="12">
        <v>2074.9699999999998</v>
      </c>
    </row>
    <row r="4" spans="1:5">
      <c r="A4" s="11">
        <v>44355</v>
      </c>
      <c r="B4" s="12">
        <v>2191</v>
      </c>
      <c r="D4" s="11">
        <v>44370</v>
      </c>
      <c r="E4" s="12">
        <v>2038</v>
      </c>
    </row>
    <row r="5" spans="1:5">
      <c r="A5" s="11">
        <v>44356</v>
      </c>
      <c r="B5" s="12">
        <v>2199.5</v>
      </c>
      <c r="D5" s="11">
        <v>44371</v>
      </c>
      <c r="E5" s="12">
        <v>2068.0500000000002</v>
      </c>
    </row>
    <row r="6" spans="1:5">
      <c r="A6" s="11">
        <v>44357</v>
      </c>
      <c r="B6" s="12">
        <v>2238.48</v>
      </c>
      <c r="D6" s="11">
        <v>44372</v>
      </c>
      <c r="E6" s="12">
        <v>2092</v>
      </c>
    </row>
    <row r="7" spans="1:5">
      <c r="A7" s="11">
        <v>44358</v>
      </c>
      <c r="B7" s="12">
        <v>2178.81</v>
      </c>
      <c r="D7" s="11">
        <v>44375</v>
      </c>
      <c r="E7" s="12">
        <v>2103.0100000000002</v>
      </c>
    </row>
    <row r="8" spans="1:5">
      <c r="A8" s="11">
        <v>44362</v>
      </c>
      <c r="B8" s="12">
        <v>2193</v>
      </c>
      <c r="D8" s="11">
        <v>44376</v>
      </c>
      <c r="E8" s="12">
        <v>2062</v>
      </c>
    </row>
    <row r="9" spans="1:5">
      <c r="A9" s="11">
        <v>44363</v>
      </c>
      <c r="B9" s="12">
        <v>2158</v>
      </c>
      <c r="D9" s="11">
        <v>44377</v>
      </c>
      <c r="E9" s="12">
        <v>2056.6999999999998</v>
      </c>
    </row>
    <row r="10" spans="1:5">
      <c r="A10" s="11">
        <v>44364</v>
      </c>
      <c r="B10" s="12">
        <v>2156.91</v>
      </c>
      <c r="D10" s="11">
        <v>44378</v>
      </c>
      <c r="E10" s="12">
        <v>2105</v>
      </c>
    </row>
    <row r="13" spans="1:5">
      <c r="C13" s="13" cm="1">
        <f t="array" aca="1" ref="C13:C17" ca="1">最后五天日期</f>
        <v>44357</v>
      </c>
      <c r="D13" cm="1">
        <f t="array" aca="1" ref="D13:D17" ca="1">最后五天开盘价</f>
        <v>2238.48</v>
      </c>
    </row>
    <row r="14" spans="1:5">
      <c r="C14">
        <f ca="1"/>
        <v>44358</v>
      </c>
      <c r="D14">
        <f ca="1"/>
        <v>2178.81</v>
      </c>
    </row>
    <row r="15" spans="1:5">
      <c r="C15">
        <f ca="1"/>
        <v>44362</v>
      </c>
      <c r="D15">
        <f ca="1"/>
        <v>2193</v>
      </c>
    </row>
    <row r="16" spans="1:5">
      <c r="C16">
        <f ca="1"/>
        <v>44363</v>
      </c>
      <c r="D16">
        <f ca="1"/>
        <v>2158</v>
      </c>
    </row>
    <row r="17" spans="3:4">
      <c r="C17">
        <f ca="1"/>
        <v>44364</v>
      </c>
      <c r="D17">
        <f ca="1"/>
        <v>2156.91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EXCEL课件</vt:lpstr>
      <vt:lpstr>图表练习</vt:lpstr>
      <vt:lpstr>Offset动态图表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2026-08-29T15:31:49Z</dcterms:modified>
</cp:coreProperties>
</file>