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6B8EDF4F-7190-224F-9BFF-E687DFC8C20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特殊的舍入" sheetId="29" r:id="rId2"/>
    <sheet name="跳跃" sheetId="32" r:id="rId3"/>
    <sheet name="分列" sheetId="3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2" l="1" a="1"/>
  <c r="N3" i="32" s="1"/>
  <c r="N4" i="32" a="1"/>
  <c r="N4" i="32" s="1"/>
  <c r="N5" i="32" a="1"/>
  <c r="N5" i="32" s="1"/>
  <c r="N2" i="32" a="1"/>
  <c r="N2" i="32" s="1"/>
  <c r="F21" i="1"/>
  <c r="D2" i="30" a="1"/>
  <c r="D2" i="30" s="1"/>
  <c r="E2" i="30" a="1"/>
  <c r="E2" i="30" s="1"/>
  <c r="F2" i="30" a="1"/>
  <c r="F2" i="30"/>
  <c r="D3" i="30" a="1"/>
  <c r="D3" i="30"/>
  <c r="E3" i="30" a="1"/>
  <c r="E3" i="30" s="1"/>
  <c r="F3" i="30" a="1"/>
  <c r="F3" i="30" s="1"/>
  <c r="D4" i="30" a="1"/>
  <c r="D4" i="30" s="1"/>
  <c r="E4" i="30" a="1"/>
  <c r="E4" i="30" s="1"/>
  <c r="F4" i="30" a="1"/>
  <c r="F4" i="30"/>
  <c r="D5" i="30" a="1"/>
  <c r="D5" i="30" s="1"/>
  <c r="E5" i="30" a="1"/>
  <c r="E5" i="30" s="1"/>
  <c r="F5" i="30" a="1"/>
  <c r="F5" i="30" s="1"/>
  <c r="E1" i="30" a="1"/>
  <c r="E1" i="30" s="1"/>
  <c r="F1" i="30" a="1"/>
  <c r="F1" i="30" s="1"/>
  <c r="D1" i="30" a="1"/>
  <c r="D1" i="30" s="1"/>
  <c r="H5" i="32" a="1"/>
  <c r="H5" i="32" s="1"/>
  <c r="H6" i="32" a="1"/>
  <c r="H6" i="32" s="1"/>
  <c r="H7" i="32" a="1"/>
  <c r="H7" i="32" s="1"/>
  <c r="H8" i="32" a="1"/>
  <c r="H8" i="32" s="1"/>
  <c r="H4" i="32" a="1"/>
  <c r="H4" i="32" s="1"/>
  <c r="E3" i="29"/>
  <c r="E4" i="29"/>
  <c r="E5" i="29"/>
  <c r="E6" i="29"/>
  <c r="E7" i="29"/>
  <c r="E8" i="29"/>
  <c r="E9" i="29"/>
  <c r="E2" i="29"/>
  <c r="D3" i="29"/>
  <c r="D4" i="29"/>
  <c r="D5" i="29"/>
  <c r="D6" i="29"/>
  <c r="D7" i="29"/>
  <c r="D8" i="29"/>
  <c r="D9" i="29"/>
  <c r="D2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<sst xmlns="http://schemas.openxmlformats.org/spreadsheetml/2006/main" count="127" uniqueCount="89">
  <si>
    <t>一、</t>
    <phoneticPr fontId="1" type="noConversion"/>
  </si>
  <si>
    <t>认识函数</t>
    <phoneticPr fontId="1" type="noConversion"/>
  </si>
  <si>
    <t>1、Round函数  Roundup函数  Rounddown函数  Int函数</t>
    <phoneticPr fontId="1" type="noConversion"/>
  </si>
  <si>
    <t>H00012769</t>
  </si>
  <si>
    <t>C014673-004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</si>
  <si>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</si>
  <si>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</si>
  <si>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</si>
  <si>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</si>
  <si>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</si>
  <si>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</si>
  <si>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</si>
  <si>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</si>
  <si>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</si>
  <si>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C014673-014</t>
  </si>
  <si>
    <t>C014673-015</t>
  </si>
  <si>
    <t>C014673-016</t>
  </si>
  <si>
    <t>C014673-019</t>
  </si>
  <si>
    <t>H00012774</t>
  </si>
  <si>
    <t>C015084-001</t>
  </si>
  <si>
    <t>C015084-002</t>
  </si>
  <si>
    <t>部门</t>
  </si>
  <si>
    <t>岗位</t>
  </si>
  <si>
    <t>湖东校区</t>
    <phoneticPr fontId="1" type="noConversion"/>
  </si>
  <si>
    <t>渠道主管</t>
  </si>
  <si>
    <t>市场专员</t>
    <phoneticPr fontId="1" type="noConversion"/>
  </si>
  <si>
    <t>计算休假（天）</t>
    <phoneticPr fontId="1" type="noConversion"/>
  </si>
  <si>
    <t>实际可休</t>
    <phoneticPr fontId="1" type="noConversion"/>
  </si>
  <si>
    <t>汪梅</t>
  </si>
  <si>
    <t>郭磊</t>
  </si>
  <si>
    <t>林涛</t>
  </si>
  <si>
    <t>朱健</t>
  </si>
  <si>
    <t>李明</t>
  </si>
  <si>
    <t>王建国</t>
  </si>
  <si>
    <t>陈玉</t>
  </si>
  <si>
    <t>张华</t>
  </si>
  <si>
    <t>李丽</t>
  </si>
  <si>
    <t>汪成</t>
  </si>
  <si>
    <t>李军</t>
  </si>
  <si>
    <t>王红蕾</t>
  </si>
  <si>
    <t>王华</t>
  </si>
  <si>
    <t>孙传富</t>
  </si>
  <si>
    <t>赵炎</t>
  </si>
  <si>
    <t>第一周</t>
    <phoneticPr fontId="1" type="noConversion"/>
  </si>
  <si>
    <t>第二周</t>
    <phoneticPr fontId="1" type="noConversion"/>
  </si>
  <si>
    <t>第三周</t>
    <phoneticPr fontId="1" type="noConversion"/>
  </si>
  <si>
    <t>第四周</t>
    <phoneticPr fontId="1" type="noConversion"/>
  </si>
  <si>
    <t>第五周</t>
    <phoneticPr fontId="1" type="noConversion"/>
  </si>
  <si>
    <t>实际可休2</t>
    <phoneticPr fontId="1" type="noConversion"/>
  </si>
  <si>
    <t>取每周第二个数值金额</t>
    <phoneticPr fontId="1" type="noConversion"/>
  </si>
  <si>
    <t>ROUND(num*,num_digits)</t>
    <phoneticPr fontId="1" type="noConversion"/>
  </si>
  <si>
    <t>四舍五入</t>
    <phoneticPr fontId="1" type="noConversion"/>
  </si>
  <si>
    <t>ROUNDUP(num*,num_digits)</t>
    <phoneticPr fontId="1" type="noConversion"/>
  </si>
  <si>
    <t>向上舍入</t>
    <phoneticPr fontId="1" type="noConversion"/>
  </si>
  <si>
    <t>ROUNDDOWN(num*,num_digits)</t>
    <phoneticPr fontId="1" type="noConversion"/>
  </si>
  <si>
    <t>向下舍入</t>
    <phoneticPr fontId="1" type="noConversion"/>
  </si>
  <si>
    <t>INT(num*)</t>
    <phoneticPr fontId="1" type="noConversion"/>
  </si>
  <si>
    <t>取整舍弃小数</t>
    <phoneticPr fontId="1" type="noConversion"/>
  </si>
  <si>
    <t>2、Row函数与Column函数</t>
    <phoneticPr fontId="1" type="noConversion"/>
  </si>
  <si>
    <t>ROUNDDOWN函数在处理负值时舍弃小数 而INT函数是将小数位做up处理</t>
    <phoneticPr fontId="1" type="noConversion"/>
  </si>
  <si>
    <t>ROW(ref)</t>
    <phoneticPr fontId="1" type="noConversion"/>
  </si>
  <si>
    <t>返回行号</t>
    <phoneticPr fontId="1" type="noConversion"/>
  </si>
  <si>
    <t>COLUMN(ref)</t>
    <phoneticPr fontId="1" type="noConversion"/>
  </si>
  <si>
    <t>返回列号</t>
    <phoneticPr fontId="1" type="noConversion"/>
  </si>
  <si>
    <t>3、确认需求寻找规律</t>
    <phoneticPr fontId="1" type="noConversion"/>
  </si>
  <si>
    <t>计算数据处理放大就是乘 缩小就是除 循环就使用MOD</t>
    <phoneticPr fontId="1" type="noConversion"/>
  </si>
  <si>
    <t>4、RANDBETWEEN函数</t>
    <phoneticPr fontId="1" type="noConversion"/>
  </si>
  <si>
    <t>RANDBETWEEN(bottom*,top*)</t>
    <phoneticPr fontId="1" type="noConversion"/>
  </si>
  <si>
    <t>随机数</t>
    <phoneticPr fontId="1" type="noConversion"/>
  </si>
  <si>
    <t>F9刷新图表</t>
    <phoneticPr fontId="1" type="noConversion"/>
  </si>
  <si>
    <t>姓名</t>
    <phoneticPr fontId="1" type="noConversion"/>
  </si>
  <si>
    <t>订单号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</si>
  <si>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</si>
  <si>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</si>
  <si>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</si>
  <si>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</si>
  <si>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XM-20100003</t>
    <phoneticPr fontId="1" type="noConversion"/>
  </si>
  <si>
    <t>XM-20100004</t>
  </si>
  <si>
    <t>XM-20100005</t>
  </si>
  <si>
    <t>XM-20100006</t>
  </si>
  <si>
    <t>XM-20100007</t>
  </si>
  <si>
    <t>XM-20100008</t>
  </si>
  <si>
    <t>XM-20100009</t>
  </si>
  <si>
    <t>张三的订单</t>
    <phoneticPr fontId="1" type="noConversion"/>
  </si>
  <si>
    <t>5、SMALL函数</t>
    <phoneticPr fontId="1" type="noConversion"/>
  </si>
  <si>
    <t>SMALL(array,k)</t>
    <phoneticPr fontId="1" type="noConversion"/>
  </si>
  <si>
    <t>参数1需要找到第 k 个最小值的数组或数值数据区域</t>
    <phoneticPr fontId="1" type="noConversion"/>
  </si>
  <si>
    <t>参数2要返回的数据在数组或数据区域里的位置（从小到大）</t>
    <phoneticPr fontId="1" type="noConversion"/>
  </si>
  <si>
    <t>LARGE(array,k)与SMALL相反 取最大值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</si>
</sst>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0"/>
      <color theme="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2" fillId="0" borderId="0" xfId="1" applyAlignme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7" fillId="0" borderId="0" xfId="0" applyFont="1" applyProtection="1">
      <protection locked="0"/>
    </xf>
    <xf numFmtId="0" fontId="3" fillId="0" borderId="0" xfId="0" applyFont="1" applyAlignment="1">
      <alignment horizontal="center" vertical="center"/>
    </xf>
    <xf numFmtId="0" fontId="8" fillId="2" borderId="0" xfId="0" applyFont="1" applyFill="1"/>
    <xf numFmtId="176" fontId="3" fillId="0" borderId="0" xfId="0" applyNumberFormat="1" applyFont="1" applyAlignment="1">
      <alignment horizontal="center" vertical="center"/>
    </xf>
    <xf numFmtId="0" fontId="0" fillId="2" borderId="0" xfId="0" applyFill="1"/>
    <xf numFmtId="0" fontId="9" fillId="0" borderId="0" xfId="0" applyFont="1" applyProtection="1"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95250</xdr:rowOff>
    </xdr:from>
    <xdr:to>
      <xdr:col>2</xdr:col>
      <xdr:colOff>381000</xdr:colOff>
      <xdr:row>3</xdr:row>
      <xdr:rowOff>28575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876300" y="276225"/>
          <a:ext cx="876300" cy="295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28"/>
  <sheetViews>
    <sheetView tabSelected="1" topLeftCell="A7" zoomScale="150" zoomScaleNormal="150" workbookViewId="0">
      <selection activeCell="E23" sqref="E23"/>
    </sheetView>
  </sheetViews>
  <sheetFormatPr baseColWidth="10" defaultColWidth="9" defaultRowHeight="15"/>
  <cols>
    <col min="1" max="2" width="9" style="1"/>
    <col min="3" max="3" width="10.6640625" style="1" customWidth="1"/>
    <col min="4" max="4" width="14.6640625" style="1" customWidth="1"/>
    <col min="5" max="6" width="9" style="1"/>
    <col min="7" max="8" width="9.33203125" style="1" bestFit="1" customWidth="1"/>
    <col min="9" max="16384" width="9" style="1"/>
  </cols>
  <sheetData>
    <row r="2" spans="1:8" s="2" customFormat="1" ht="16" thickBot="1"/>
    <row r="3" spans="1:8" ht="16" thickTop="1"/>
    <row r="4" spans="1:8" s="3" customFormat="1" ht="14">
      <c r="A4" s="3" t="s">
        <v>0</v>
      </c>
      <c r="B4" s="7" t="s">
        <v>1</v>
      </c>
    </row>
    <row r="5" spans="1:8" s="3" customFormat="1" ht="14"/>
    <row r="6" spans="1:8" s="3" customFormat="1" ht="14">
      <c r="B6" s="3" t="s">
        <v>2</v>
      </c>
    </row>
    <row r="7" spans="1:8" s="3" customFormat="1" ht="14">
      <c r="C7" s="17" t="s">
        <v>50</v>
      </c>
      <c r="D7" s="17"/>
      <c r="E7" s="17" t="s">
        <v>51</v>
      </c>
    </row>
    <row r="8" spans="1:8" s="3" customFormat="1" ht="14">
      <c r="C8" s="17" t="s">
        <v>52</v>
      </c>
      <c r="D8" s="17"/>
      <c r="E8" s="17" t="s">
        <v>53</v>
      </c>
    </row>
    <row r="9" spans="1:8" s="3" customFormat="1" ht="14">
      <c r="C9" s="17" t="s">
        <v>54</v>
      </c>
      <c r="D9" s="17"/>
      <c r="E9" s="17" t="s">
        <v>55</v>
      </c>
    </row>
    <row r="10" spans="1:8" s="3" customFormat="1" ht="14">
      <c r="C10" s="17" t="s">
        <v>56</v>
      </c>
      <c r="D10" s="17"/>
      <c r="E10" s="17" t="s">
        <v>57</v>
      </c>
    </row>
    <row r="11" spans="1:8" s="3" customFormat="1" ht="14">
      <c r="C11" s="17" t="s">
        <v>59</v>
      </c>
    </row>
    <row r="12" spans="1:8" s="3" customFormat="1" ht="14"/>
    <row r="13" spans="1:8" s="3" customFormat="1" ht="14">
      <c r="B13" s="3" t="s">
        <v>58</v>
      </c>
    </row>
    <row r="14" spans="1:8" s="3" customFormat="1" ht="14">
      <c r="C14" s="17" t="s">
        <v>60</v>
      </c>
      <c r="D14" s="17" t="s">
        <v>61</v>
      </c>
      <c r="H14" s="12"/>
    </row>
    <row r="15" spans="1:8" s="3" customFormat="1" ht="14">
      <c r="C15" s="17" t="s">
        <v>62</v>
      </c>
      <c r="D15" s="17" t="s">
        <v>63</v>
      </c>
      <c r="H15" s="12"/>
    </row>
    <row r="16" spans="1:8" s="3" customFormat="1" ht="14"/>
    <row r="17" spans="2:7" s="3" customFormat="1" ht="14">
      <c r="B17" s="3" t="s">
        <v>64</v>
      </c>
    </row>
    <row r="18" spans="2:7" s="3" customFormat="1" ht="14">
      <c r="C18" s="17" t="s">
        <v>65</v>
      </c>
    </row>
    <row r="19" spans="2:7" s="3" customFormat="1">
      <c r="C19" s="4"/>
      <c r="G19" s="6"/>
    </row>
    <row r="20" spans="2:7" s="3" customFormat="1" ht="14">
      <c r="B20" s="3" t="s">
        <v>66</v>
      </c>
      <c r="C20" s="4"/>
    </row>
    <row r="21" spans="2:7" s="3" customFormat="1" ht="14">
      <c r="C21" s="17" t="s">
        <v>67</v>
      </c>
      <c r="D21" s="17"/>
      <c r="E21" s="17" t="s">
        <v>68</v>
      </c>
      <c r="F21" s="17">
        <f ca="1">RANDBETWEEN(1,100)</f>
        <v>46</v>
      </c>
      <c r="G21" s="17" t="s">
        <v>69</v>
      </c>
    </row>
    <row r="22" spans="2:7" s="3" customFormat="1" ht="14"/>
    <row r="23" spans="2:7">
      <c r="B23" s="3" t="s">
        <v>84</v>
      </c>
      <c r="C23" s="3"/>
      <c r="E23" s="3"/>
    </row>
    <row r="24" spans="2:7">
      <c r="C24" s="21" t="s">
        <v>85</v>
      </c>
      <c r="E24" s="3"/>
    </row>
    <row r="25" spans="2:7">
      <c r="C25" s="21" t="s">
        <v>86</v>
      </c>
      <c r="E25" s="3"/>
    </row>
    <row r="26" spans="2:7">
      <c r="C26" s="21" t="s">
        <v>87</v>
      </c>
      <c r="E26" s="3"/>
    </row>
    <row r="27" spans="2:7">
      <c r="C27" s="21" t="s">
        <v>88</v>
      </c>
      <c r="E27" s="3"/>
    </row>
    <row r="28" spans="2:7">
      <c r="E28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="150" zoomScaleNormal="150" workbookViewId="0">
      <selection activeCell="C5" sqref="C5"/>
    </sheetView>
  </sheetViews>
  <sheetFormatPr baseColWidth="10" defaultColWidth="9" defaultRowHeight="15"/>
  <cols>
    <col min="1" max="2" width="9" style="5"/>
    <col min="3" max="3" width="13.83203125" style="5" bestFit="1" customWidth="1"/>
    <col min="4" max="4" width="8.6640625" style="5" bestFit="1" customWidth="1"/>
    <col min="5" max="5" width="9.5" style="5" bestFit="1" customWidth="1"/>
    <col min="6" max="16384" width="9" style="5"/>
  </cols>
  <sheetData>
    <row r="1" spans="1:5">
      <c r="A1" s="14" t="s">
        <v>21</v>
      </c>
      <c r="B1" s="14" t="s">
        <v>22</v>
      </c>
      <c r="C1" s="14" t="s">
        <v>26</v>
      </c>
      <c r="D1" s="14" t="s">
        <v>27</v>
      </c>
      <c r="E1" s="14" t="s">
        <v>48</v>
      </c>
    </row>
    <row r="2" spans="1:5">
      <c r="A2" s="8" t="s">
        <v>23</v>
      </c>
      <c r="B2" s="8" t="s">
        <v>24</v>
      </c>
      <c r="C2" s="8">
        <v>12.3</v>
      </c>
      <c r="D2" s="8">
        <f>IF(MOD(C2,1)&gt;=0.5,INT(C2)+0.5,INT(C2))</f>
        <v>12</v>
      </c>
      <c r="E2" s="8">
        <f>INT((C2*2))/2</f>
        <v>12</v>
      </c>
    </row>
    <row r="3" spans="1:5">
      <c r="A3" s="8" t="s">
        <v>23</v>
      </c>
      <c r="B3" s="8" t="s">
        <v>25</v>
      </c>
      <c r="C3" s="8">
        <v>7.6</v>
      </c>
      <c r="D3" s="8">
        <f t="shared" ref="D3:D9" si="0">IF(MOD(C3,1)&gt;=0.5,INT(C3)+0.5,INT(C3))</f>
        <v>7.5</v>
      </c>
      <c r="E3" s="8">
        <f t="shared" ref="E3:E9" si="1">INT((C3*2))/2</f>
        <v>7.5</v>
      </c>
    </row>
    <row r="4" spans="1:5">
      <c r="A4" s="8" t="s">
        <v>23</v>
      </c>
      <c r="B4" s="8" t="s">
        <v>25</v>
      </c>
      <c r="C4" s="8">
        <v>8.3000000000000007</v>
      </c>
      <c r="D4" s="8">
        <f t="shared" si="0"/>
        <v>8</v>
      </c>
      <c r="E4" s="8">
        <f t="shared" si="1"/>
        <v>8</v>
      </c>
    </row>
    <row r="5" spans="1:5">
      <c r="A5" s="8" t="s">
        <v>23</v>
      </c>
      <c r="B5" s="8" t="s">
        <v>25</v>
      </c>
      <c r="C5" s="8">
        <v>9.4</v>
      </c>
      <c r="D5" s="8">
        <f t="shared" si="0"/>
        <v>9</v>
      </c>
      <c r="E5" s="8">
        <f t="shared" si="1"/>
        <v>9</v>
      </c>
    </row>
    <row r="6" spans="1:5">
      <c r="A6" s="8" t="s">
        <v>23</v>
      </c>
      <c r="B6" s="8" t="s">
        <v>25</v>
      </c>
      <c r="C6" s="8">
        <v>7.8</v>
      </c>
      <c r="D6" s="8">
        <f t="shared" si="0"/>
        <v>7.5</v>
      </c>
      <c r="E6" s="8">
        <f t="shared" si="1"/>
        <v>7.5</v>
      </c>
    </row>
    <row r="7" spans="1:5">
      <c r="A7" s="8" t="s">
        <v>23</v>
      </c>
      <c r="B7" s="8" t="s">
        <v>25</v>
      </c>
      <c r="C7" s="8">
        <v>8.6999999999999993</v>
      </c>
      <c r="D7" s="8">
        <f t="shared" si="0"/>
        <v>8.5</v>
      </c>
      <c r="E7" s="8">
        <f t="shared" si="1"/>
        <v>8.5</v>
      </c>
    </row>
    <row r="8" spans="1:5">
      <c r="A8" s="8" t="s">
        <v>23</v>
      </c>
      <c r="B8" s="8" t="s">
        <v>25</v>
      </c>
      <c r="C8" s="8">
        <v>6.5</v>
      </c>
      <c r="D8" s="8">
        <f t="shared" si="0"/>
        <v>6.5</v>
      </c>
      <c r="E8" s="8">
        <f t="shared" si="1"/>
        <v>6.5</v>
      </c>
    </row>
    <row r="9" spans="1:5">
      <c r="A9" s="8" t="s">
        <v>23</v>
      </c>
      <c r="B9" s="8" t="s">
        <v>25</v>
      </c>
      <c r="C9" s="8">
        <v>4.9000000000000004</v>
      </c>
      <c r="D9" s="8">
        <f t="shared" si="0"/>
        <v>4.5</v>
      </c>
      <c r="E9" s="8">
        <f t="shared" si="1"/>
        <v>4.5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topLeftCell="D1" zoomScale="150" zoomScaleNormal="150" workbookViewId="0">
      <selection activeCell="N2" sqref="N2"/>
    </sheetView>
  </sheetViews>
  <sheetFormatPr baseColWidth="10" defaultColWidth="8.83203125" defaultRowHeight="15"/>
  <cols>
    <col min="3" max="3" width="9" bestFit="1" customWidth="1"/>
    <col min="4" max="5" width="10.33203125" bestFit="1" customWidth="1"/>
    <col min="8" max="8" width="10.33203125" bestFit="1" customWidth="1"/>
    <col min="9" max="9" width="9"/>
    <col min="12" max="12" width="13" bestFit="1" customWidth="1"/>
    <col min="14" max="14" width="13" bestFit="1" customWidth="1"/>
  </cols>
  <sheetData>
    <row r="1" spans="1:14">
      <c r="A1" s="18" t="s">
        <v>43</v>
      </c>
      <c r="B1" s="19"/>
      <c r="C1" s="19"/>
      <c r="D1" s="19"/>
      <c r="E1" s="20"/>
      <c r="K1" s="14" t="s">
        <v>70</v>
      </c>
      <c r="L1" s="14" t="s">
        <v>71</v>
      </c>
      <c r="N1" s="14" t="s">
        <v>83</v>
      </c>
    </row>
    <row r="2" spans="1:14">
      <c r="A2" s="10" t="s">
        <v>3</v>
      </c>
      <c r="B2" s="10" t="s">
        <v>4</v>
      </c>
      <c r="C2" s="10">
        <v>16</v>
      </c>
      <c r="D2" s="11">
        <v>19269.685163999999</v>
      </c>
      <c r="E2" s="11">
        <v>18982.847759558852</v>
      </c>
      <c r="H2" s="8"/>
      <c r="K2" s="8" t="s">
        <v>72</v>
      </c>
      <c r="L2" s="8" t="s">
        <v>76</v>
      </c>
      <c r="N2" s="8" t="str" cm="1">
        <f t="array" ref="N2">INDEX(L:L,SMALL(IF(K$2:$K8="张三",ROW($2:$8),2^20),ROW(1:1)))&amp;""</f>
        <v>XM-20100003</v>
      </c>
    </row>
    <row r="3" spans="1:14">
      <c r="A3" s="10" t="s">
        <v>3</v>
      </c>
      <c r="B3" s="10" t="s">
        <v>5</v>
      </c>
      <c r="C3" s="10">
        <v>40</v>
      </c>
      <c r="D3" s="11">
        <v>39465.169800000003</v>
      </c>
      <c r="E3" s="11">
        <v>40893.083149311875</v>
      </c>
      <c r="G3" s="8"/>
      <c r="H3" s="14" t="s">
        <v>49</v>
      </c>
      <c r="I3" s="16"/>
      <c r="K3" s="8" t="s">
        <v>73</v>
      </c>
      <c r="L3" s="8" t="s">
        <v>77</v>
      </c>
      <c r="N3" s="8" t="str" cm="1">
        <f t="array" ref="N3">INDEX(L:L,SMALL(IF(K$2:$K9="张三",ROW($2:$8),2^20),ROW(2:2)))&amp;""</f>
        <v>XM-20100006</v>
      </c>
    </row>
    <row r="4" spans="1:14">
      <c r="A4" s="10" t="s">
        <v>3</v>
      </c>
      <c r="B4" s="10" t="s">
        <v>6</v>
      </c>
      <c r="C4" s="10">
        <v>20</v>
      </c>
      <c r="D4" s="11">
        <v>21015.944745000001</v>
      </c>
      <c r="E4" s="11">
        <v>22294.085220814908</v>
      </c>
      <c r="G4" s="8"/>
      <c r="H4" s="15" cm="1">
        <f t="array" ref="H4">INDEX($E:$E,ROW()*5-17)</f>
        <v>40893.083149311875</v>
      </c>
      <c r="I4" s="9"/>
      <c r="K4" s="8" t="s">
        <v>74</v>
      </c>
      <c r="L4" s="8" t="s">
        <v>78</v>
      </c>
      <c r="N4" s="8" t="str" cm="1">
        <f t="array" ref="N4">INDEX(L:L,SMALL(IF(K$2:$K10="张三",ROW($2:$8),2^20),ROW(3:3)))&amp;""</f>
        <v>XM-20100009</v>
      </c>
    </row>
    <row r="5" spans="1:14">
      <c r="A5" s="10" t="s">
        <v>3</v>
      </c>
      <c r="B5" s="10" t="s">
        <v>7</v>
      </c>
      <c r="C5" s="10">
        <v>20</v>
      </c>
      <c r="D5" s="11">
        <v>23710.258592999999</v>
      </c>
      <c r="E5" s="11">
        <v>24318.374117613792</v>
      </c>
      <c r="G5" s="8"/>
      <c r="H5" s="15" cm="1">
        <f t="array" ref="H5">INDEX($E:$E,ROW()*5-17)</f>
        <v>43537.557757683368</v>
      </c>
      <c r="I5" s="9"/>
      <c r="K5" s="8" t="s">
        <v>72</v>
      </c>
      <c r="L5" s="8" t="s">
        <v>79</v>
      </c>
      <c r="N5" s="8" t="str" cm="1">
        <f t="array" ref="N5">INDEX(L:L,SMALL(IF(K$2:$K11="张三",ROW($2:$8),2^20),ROW(4:4)))&amp;""</f>
        <v/>
      </c>
    </row>
    <row r="6" spans="1:14">
      <c r="A6" s="18" t="s">
        <v>44</v>
      </c>
      <c r="B6" s="19"/>
      <c r="C6" s="19"/>
      <c r="D6" s="19"/>
      <c r="E6" s="20"/>
      <c r="G6" s="8"/>
      <c r="H6" s="15" cm="1">
        <f t="array" ref="H6">INDEX($E:$E,ROW()*5-17)</f>
        <v>51700.030820578511</v>
      </c>
      <c r="I6" s="9"/>
      <c r="K6" s="8" t="s">
        <v>74</v>
      </c>
      <c r="L6" s="8" t="s">
        <v>80</v>
      </c>
    </row>
    <row r="7" spans="1:14">
      <c r="A7" s="10" t="s">
        <v>3</v>
      </c>
      <c r="B7" s="10" t="s">
        <v>8</v>
      </c>
      <c r="C7" s="10">
        <v>16</v>
      </c>
      <c r="D7" s="11">
        <v>20015.072431199998</v>
      </c>
      <c r="E7" s="11">
        <v>20256.694699447638</v>
      </c>
      <c r="G7" s="8"/>
      <c r="H7" s="15" cm="1">
        <f t="array" ref="H7">INDEX($E:$E,ROW()*5-17)</f>
        <v>32726.657776180989</v>
      </c>
      <c r="I7" s="9"/>
      <c r="K7" s="8" t="s">
        <v>75</v>
      </c>
      <c r="L7" s="8" t="s">
        <v>81</v>
      </c>
    </row>
    <row r="8" spans="1:14">
      <c r="A8" s="10" t="s">
        <v>3</v>
      </c>
      <c r="B8" s="10" t="s">
        <v>9</v>
      </c>
      <c r="C8" s="10">
        <v>200</v>
      </c>
      <c r="D8" s="11">
        <v>40014.12141</v>
      </c>
      <c r="E8" s="11">
        <v>43537.557757683368</v>
      </c>
      <c r="G8" s="8"/>
      <c r="H8" s="15" cm="1">
        <f t="array" ref="H8">INDEX($E:$E,ROW()*5-17)</f>
        <v>43537.557757683368</v>
      </c>
      <c r="I8" s="9"/>
      <c r="K8" s="8" t="s">
        <v>72</v>
      </c>
      <c r="L8" s="8" t="s">
        <v>82</v>
      </c>
    </row>
    <row r="9" spans="1:14">
      <c r="A9" s="10" t="s">
        <v>3</v>
      </c>
      <c r="B9" s="10" t="s">
        <v>10</v>
      </c>
      <c r="C9" s="10">
        <v>100</v>
      </c>
      <c r="D9" s="11">
        <v>21423.94932</v>
      </c>
      <c r="E9" s="11">
        <v>22917.339613203356</v>
      </c>
      <c r="G9" s="8"/>
      <c r="H9" s="8"/>
    </row>
    <row r="10" spans="1:14">
      <c r="A10" s="10" t="s">
        <v>3</v>
      </c>
      <c r="B10" s="10" t="s">
        <v>11</v>
      </c>
      <c r="C10" s="10">
        <v>200</v>
      </c>
      <c r="D10" s="11">
        <v>40014.12141</v>
      </c>
      <c r="E10" s="11">
        <v>44258.364560249865</v>
      </c>
    </row>
    <row r="11" spans="1:14">
      <c r="A11" s="18" t="s">
        <v>45</v>
      </c>
      <c r="B11" s="19"/>
      <c r="C11" s="19"/>
      <c r="D11" s="19"/>
      <c r="E11" s="20"/>
    </row>
    <row r="12" spans="1:14">
      <c r="A12" s="10" t="s">
        <v>3</v>
      </c>
      <c r="B12" s="10" t="s">
        <v>12</v>
      </c>
      <c r="C12" s="10">
        <v>400</v>
      </c>
      <c r="D12" s="11">
        <v>84271.490399999995</v>
      </c>
      <c r="E12" s="11">
        <v>92391.153643258687</v>
      </c>
    </row>
    <row r="13" spans="1:14">
      <c r="A13" s="10" t="s">
        <v>3</v>
      </c>
      <c r="B13" s="10" t="s">
        <v>13</v>
      </c>
      <c r="C13" s="10">
        <v>212</v>
      </c>
      <c r="D13" s="11">
        <v>48705.657414599991</v>
      </c>
      <c r="E13" s="11">
        <v>51700.030820578511</v>
      </c>
    </row>
    <row r="14" spans="1:14">
      <c r="A14" s="10" t="s">
        <v>3</v>
      </c>
      <c r="B14" s="10" t="s">
        <v>14</v>
      </c>
      <c r="C14" s="10">
        <v>224</v>
      </c>
      <c r="D14" s="11">
        <v>47192.034624</v>
      </c>
      <c r="E14" s="11">
        <v>50558.498384562939</v>
      </c>
    </row>
    <row r="15" spans="1:14">
      <c r="A15" s="10" t="s">
        <v>3</v>
      </c>
      <c r="B15" s="10" t="s">
        <v>15</v>
      </c>
      <c r="C15" s="10">
        <v>92</v>
      </c>
      <c r="D15" s="11">
        <v>21136.417368599999</v>
      </c>
      <c r="E15" s="11">
        <v>22115.228953458598</v>
      </c>
    </row>
    <row r="16" spans="1:14">
      <c r="A16" s="18" t="s">
        <v>46</v>
      </c>
      <c r="B16" s="19"/>
      <c r="C16" s="19"/>
      <c r="D16" s="19"/>
      <c r="E16" s="20"/>
    </row>
    <row r="17" spans="1:5">
      <c r="A17" s="10" t="s">
        <v>3</v>
      </c>
      <c r="B17" s="10" t="s">
        <v>16</v>
      </c>
      <c r="C17" s="10">
        <v>100</v>
      </c>
      <c r="D17" s="11">
        <v>27499.508355000002</v>
      </c>
      <c r="E17" s="11">
        <v>30712.177367957313</v>
      </c>
    </row>
    <row r="18" spans="1:5">
      <c r="A18" s="10" t="s">
        <v>3</v>
      </c>
      <c r="B18" s="10" t="s">
        <v>17</v>
      </c>
      <c r="C18" s="10">
        <v>140</v>
      </c>
      <c r="D18" s="11">
        <v>29993.529048</v>
      </c>
      <c r="E18" s="11">
        <v>32726.657776180989</v>
      </c>
    </row>
    <row r="19" spans="1:5">
      <c r="A19" s="10" t="s">
        <v>18</v>
      </c>
      <c r="B19" s="10" t="s">
        <v>19</v>
      </c>
      <c r="C19" s="10">
        <v>108</v>
      </c>
      <c r="D19" s="11">
        <v>34682.76271979999</v>
      </c>
      <c r="E19" s="11">
        <v>35738.658109519878</v>
      </c>
    </row>
    <row r="20" spans="1:5">
      <c r="A20" s="10" t="s">
        <v>18</v>
      </c>
      <c r="B20" s="10" t="s">
        <v>20</v>
      </c>
      <c r="C20" s="10">
        <v>72</v>
      </c>
      <c r="D20" s="11">
        <v>12492.951721200001</v>
      </c>
      <c r="E20" s="11">
        <v>11098.923925167686</v>
      </c>
    </row>
    <row r="21" spans="1:5">
      <c r="A21" s="18" t="s">
        <v>47</v>
      </c>
      <c r="B21" s="19"/>
      <c r="C21" s="19"/>
      <c r="D21" s="19"/>
      <c r="E21" s="20"/>
    </row>
    <row r="22" spans="1:5">
      <c r="A22" s="10" t="s">
        <v>3</v>
      </c>
      <c r="B22" s="10" t="s">
        <v>8</v>
      </c>
      <c r="C22" s="10">
        <v>16</v>
      </c>
      <c r="D22" s="11">
        <v>20015.072431199998</v>
      </c>
      <c r="E22" s="11">
        <v>20256.694699447638</v>
      </c>
    </row>
    <row r="23" spans="1:5">
      <c r="A23" s="10" t="s">
        <v>3</v>
      </c>
      <c r="B23" s="10" t="s">
        <v>9</v>
      </c>
      <c r="C23" s="10">
        <v>200</v>
      </c>
      <c r="D23" s="11">
        <v>40014.12141</v>
      </c>
      <c r="E23" s="11">
        <v>43537.557757683368</v>
      </c>
    </row>
    <row r="24" spans="1:5">
      <c r="A24" s="10" t="s">
        <v>3</v>
      </c>
      <c r="B24" s="10" t="s">
        <v>10</v>
      </c>
      <c r="C24" s="10">
        <v>100</v>
      </c>
      <c r="D24" s="11">
        <v>21423.94932</v>
      </c>
      <c r="E24" s="11">
        <v>22917.339613203356</v>
      </c>
    </row>
    <row r="25" spans="1:5">
      <c r="A25" s="10" t="s">
        <v>3</v>
      </c>
      <c r="B25" s="10" t="s">
        <v>11</v>
      </c>
      <c r="C25" s="10">
        <v>200</v>
      </c>
      <c r="D25" s="11">
        <v>40014.12141</v>
      </c>
      <c r="E25" s="11">
        <v>44258.364560249865</v>
      </c>
    </row>
  </sheetData>
  <mergeCells count="5">
    <mergeCell ref="A1:E1"/>
    <mergeCell ref="A6:E6"/>
    <mergeCell ref="A11:E11"/>
    <mergeCell ref="A16:E16"/>
    <mergeCell ref="A21:E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zoomScale="150" zoomScaleNormal="150" workbookViewId="0">
      <selection activeCell="D1" sqref="D1"/>
    </sheetView>
  </sheetViews>
  <sheetFormatPr baseColWidth="10" defaultColWidth="8.83203125" defaultRowHeight="15"/>
  <cols>
    <col min="1" max="6" width="8.83203125" style="8"/>
  </cols>
  <sheetData>
    <row r="1" spans="1:10">
      <c r="A1" s="8" t="s">
        <v>28</v>
      </c>
      <c r="D1" s="13" t="str" cm="1">
        <f t="array" ref="D1">INDEX($A:$A,ROW()*3+COLUMN()-6)</f>
        <v>汪梅</v>
      </c>
      <c r="E1" s="13" t="str" cm="1">
        <f t="array" ref="E1">INDEX($A:$A,ROW()*3+COLUMN()-6)</f>
        <v>郭磊</v>
      </c>
      <c r="F1" s="13" t="str" cm="1">
        <f t="array" ref="F1">INDEX($A:$A,ROW()*3+COLUMN()-6)</f>
        <v>林涛</v>
      </c>
      <c r="H1" s="8"/>
      <c r="I1" s="8"/>
      <c r="J1" s="8"/>
    </row>
    <row r="2" spans="1:10">
      <c r="A2" s="8" t="s">
        <v>29</v>
      </c>
      <c r="D2" s="13" t="str" cm="1">
        <f t="array" ref="D2">INDEX($A:$A,ROW()*3+COLUMN()-6)</f>
        <v>朱健</v>
      </c>
      <c r="E2" s="13" t="str" cm="1">
        <f t="array" ref="E2">INDEX($A:$A,ROW()*3+COLUMN()-6)</f>
        <v>李明</v>
      </c>
      <c r="F2" s="13" t="str" cm="1">
        <f t="array" ref="F2">INDEX($A:$A,ROW()*3+COLUMN()-6)</f>
        <v>王建国</v>
      </c>
      <c r="H2" s="8"/>
      <c r="I2" s="8"/>
      <c r="J2" s="8"/>
    </row>
    <row r="3" spans="1:10">
      <c r="A3" s="8" t="s">
        <v>30</v>
      </c>
      <c r="D3" s="13" t="str" cm="1">
        <f t="array" ref="D3">INDEX($A:$A,ROW()*3+COLUMN()-6)</f>
        <v>陈玉</v>
      </c>
      <c r="E3" s="13" t="str" cm="1">
        <f t="array" ref="E3">INDEX($A:$A,ROW()*3+COLUMN()-6)</f>
        <v>张华</v>
      </c>
      <c r="F3" s="13" t="str" cm="1">
        <f t="array" ref="F3">INDEX($A:$A,ROW()*3+COLUMN()-6)</f>
        <v>李丽</v>
      </c>
      <c r="H3" s="8"/>
      <c r="I3" s="8"/>
      <c r="J3" s="8"/>
    </row>
    <row r="4" spans="1:10">
      <c r="A4" s="8" t="s">
        <v>31</v>
      </c>
      <c r="D4" s="13" t="str" cm="1">
        <f t="array" ref="D4">INDEX($A:$A,ROW()*3+COLUMN()-6)</f>
        <v>汪成</v>
      </c>
      <c r="E4" s="13" t="str" cm="1">
        <f t="array" ref="E4">INDEX($A:$A,ROW()*3+COLUMN()-6)</f>
        <v>李军</v>
      </c>
      <c r="F4" s="13" t="str" cm="1">
        <f t="array" ref="F4">INDEX($A:$A,ROW()*3+COLUMN()-6)</f>
        <v>王红蕾</v>
      </c>
      <c r="H4" s="8"/>
      <c r="I4" s="8"/>
      <c r="J4" s="8"/>
    </row>
    <row r="5" spans="1:10">
      <c r="A5" s="8" t="s">
        <v>32</v>
      </c>
      <c r="D5" s="13" t="str" cm="1">
        <f t="array" ref="D5">INDEX($A:$A,ROW()*3+COLUMN()-6)</f>
        <v>王华</v>
      </c>
      <c r="E5" s="13" t="str" cm="1">
        <f t="array" ref="E5">INDEX($A:$A,ROW()*3+COLUMN()-6)</f>
        <v>孙传富</v>
      </c>
      <c r="F5" s="13" t="str" cm="1">
        <f t="array" ref="F5">INDEX($A:$A,ROW()*3+COLUMN()-6)</f>
        <v>赵炎</v>
      </c>
      <c r="H5" s="8"/>
      <c r="I5" s="8"/>
      <c r="J5" s="8"/>
    </row>
    <row r="6" spans="1:10">
      <c r="A6" s="8" t="s">
        <v>33</v>
      </c>
    </row>
    <row r="7" spans="1:10">
      <c r="A7" s="8" t="s">
        <v>34</v>
      </c>
    </row>
    <row r="8" spans="1:10">
      <c r="A8" s="8" t="s">
        <v>35</v>
      </c>
    </row>
    <row r="9" spans="1:10">
      <c r="A9" s="8" t="s">
        <v>36</v>
      </c>
    </row>
    <row r="10" spans="1:10">
      <c r="A10" s="8" t="s">
        <v>37</v>
      </c>
    </row>
    <row r="11" spans="1:10">
      <c r="A11" s="8" t="s">
        <v>38</v>
      </c>
    </row>
    <row r="12" spans="1:10">
      <c r="A12" s="8" t="s">
        <v>39</v>
      </c>
    </row>
    <row r="13" spans="1:10">
      <c r="A13" s="8" t="s">
        <v>40</v>
      </c>
    </row>
    <row r="14" spans="1:10">
      <c r="A14" s="8" t="s">
        <v>41</v>
      </c>
    </row>
    <row r="15" spans="1:10">
      <c r="A15" s="8" t="s">
        <v>42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EXCEL课件</vt:lpstr>
      <vt:lpstr>特殊的舍入</vt:lpstr>
      <vt:lpstr>跳跃</vt:lpstr>
      <vt:lpstr>分列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2026-09-18T08:24:47Z</dcterms:modified>
</cp:coreProperties>
</file>