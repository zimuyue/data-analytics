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zimu/Desktop/cli/"/>
    </mc:Choice>
  </mc:AlternateContent>
  <xr:revisionPtr revIDLastSave="0" documentId="13_ncr:1_{FEE50A7F-B63A-744B-B5FB-A5DEA120E63B}" xr6:coauthVersionLast="47" xr6:coauthVersionMax="47" xr10:uidLastSave="{00000000-0000-0000-0000-000000000000}"/>
  <bookViews>
    <workbookView xWindow="0" yWindow="660" windowWidth="29400" windowHeight="18460" tabRatio="691" xr2:uid="{00000000-000D-0000-FFFF-FFFF00000000}"/>
  </bookViews>
  <sheets>
    <sheet name="EXCEL课件" sheetId="1" r:id="rId1"/>
    <sheet name="动态数组" sheetId="29" r:id="rId2"/>
    <sheet name="回顾统计函数" sheetId="19" r:id="rId3"/>
    <sheet name="认识数组" sheetId="21" r:id="rId4"/>
    <sheet name="数组应用实例" sheetId="23" r:id="rId5"/>
    <sheet name="FILTER函数" sheetId="30" r:id="rId6"/>
    <sheet name="UNIQUE函数" sheetId="31" r:id="rId7"/>
    <sheet name="使用LOOKUP函数" sheetId="25" r:id="rId8"/>
    <sheet name="LOOKUP函数精确匹配" sheetId="2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1" l="1" a="1"/>
  <c r="I2" i="31" s="1"/>
  <c r="J2" i="31" s="1" a="1"/>
  <c r="J2" i="31" s="1"/>
  <c r="G2" i="31"/>
  <c r="F14" i="30" a="1"/>
  <c r="F14" i="30" s="1"/>
  <c r="F15" i="30" a="1"/>
  <c r="F15" i="30" s="1"/>
  <c r="F16" i="30" a="1"/>
  <c r="F16" i="30" s="1"/>
  <c r="F17" i="30" a="1"/>
  <c r="F17" i="30" s="1"/>
  <c r="F18" i="30" a="1"/>
  <c r="F18" i="30" s="1"/>
  <c r="F19" i="30" a="1"/>
  <c r="F19" i="30" s="1"/>
  <c r="F13" i="30" a="1"/>
  <c r="F13" i="30" s="1"/>
  <c r="I2" i="29" a="1"/>
  <c r="I2" i="29" s="1"/>
  <c r="I3" i="29" a="1"/>
  <c r="I3" i="29" s="1"/>
  <c r="F3" i="30" a="1"/>
  <c r="F3" i="30" s="1"/>
  <c r="F4" i="30" a="1"/>
  <c r="F4" i="30" s="1"/>
  <c r="F5" i="30" a="1"/>
  <c r="F5" i="30" s="1"/>
  <c r="F6" i="30" a="1"/>
  <c r="F6" i="30" s="1"/>
  <c r="F7" i="30" a="1"/>
  <c r="F7" i="30" s="1"/>
  <c r="F8" i="30" a="1"/>
  <c r="F8" i="30" s="1"/>
  <c r="F2" i="30" a="1"/>
  <c r="F2" i="30" s="1"/>
  <c r="J6" i="31" l="1" a="1"/>
  <c r="J6" i="31" s="1"/>
  <c r="J5" i="31" a="1"/>
  <c r="J5" i="31" s="1"/>
  <c r="J4" i="31" a="1"/>
  <c r="J4" i="31" s="1"/>
  <c r="J3" i="31" a="1"/>
  <c r="J3" i="31" s="1"/>
  <c r="L4" i="21" a="1"/>
  <c r="L4" i="21" s="1"/>
  <c r="M18" i="21" a="1"/>
  <c r="M18" i="21" s="1"/>
  <c r="H3" i="21" l="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" i="21"/>
  <c r="G6" i="23" l="1" a="1"/>
  <c r="G6" i="23" s="1"/>
  <c r="G7" i="23" a="1"/>
  <c r="G7" i="23" s="1"/>
  <c r="G8" i="23" a="1"/>
  <c r="G8" i="23" s="1"/>
  <c r="G9" i="23" a="1"/>
  <c r="G9" i="23" s="1"/>
  <c r="G5" i="23" a="1"/>
  <c r="G5" i="23" s="1"/>
  <c r="K7" i="28" a="1"/>
  <c r="K7" i="28" s="1"/>
  <c r="K8" i="28" a="1"/>
  <c r="K8" i="28" s="1"/>
  <c r="K9" i="28" a="1"/>
  <c r="K9" i="28" s="1"/>
  <c r="K6" i="28" a="1"/>
  <c r="K6" i="28" s="1"/>
  <c r="H5" i="25" a="1"/>
  <c r="H5" i="25" s="1"/>
  <c r="H6" i="25" a="1"/>
  <c r="H6" i="25" s="1"/>
  <c r="H7" i="25" a="1"/>
  <c r="H7" i="25" s="1"/>
  <c r="H8" i="25" a="1"/>
  <c r="H8" i="25"/>
  <c r="H9" i="25" a="1"/>
  <c r="H9" i="25" s="1"/>
  <c r="H10" i="25" a="1"/>
  <c r="H10" i="25" s="1"/>
  <c r="H11" i="25" a="1"/>
  <c r="H11" i="25" s="1"/>
  <c r="H12" i="25" a="1"/>
  <c r="H12" i="25" s="1"/>
  <c r="H13" i="25" a="1"/>
  <c r="H13" i="25" s="1"/>
  <c r="H14" i="25" a="1"/>
  <c r="H14" i="25" s="1"/>
  <c r="H15" i="25" a="1"/>
  <c r="H15" i="25" s="1"/>
  <c r="H16" i="25" a="1"/>
  <c r="H16" i="25" s="1"/>
  <c r="H17" i="25" a="1"/>
  <c r="H17" i="25" s="1"/>
  <c r="H4" i="25" a="1"/>
  <c r="H4" i="25" s="1"/>
  <c r="M19" i="21" a="1"/>
  <c r="M19" i="21" s="1"/>
  <c r="M20" i="21" a="1"/>
  <c r="M20" i="21" s="1"/>
  <c r="M21" i="21" a="1"/>
  <c r="M21" i="21" s="1"/>
  <c r="M12" i="21" a="1"/>
  <c r="M12" i="21" s="1"/>
  <c r="M13" i="21" a="1"/>
  <c r="M13" i="21" s="1"/>
  <c r="M14" i="21" a="1"/>
  <c r="M14" i="21" s="1"/>
  <c r="M11" i="21" a="1"/>
  <c r="M11" i="21" s="1"/>
  <c r="L5" i="21" a="1"/>
  <c r="L5" i="21" s="1"/>
  <c r="L6" i="21" a="1"/>
  <c r="L6" i="21" s="1"/>
  <c r="L7" i="21" a="1"/>
  <c r="L7" i="21" s="1"/>
  <c r="K16" i="19"/>
  <c r="K17" i="19"/>
  <c r="K18" i="19"/>
  <c r="K15" i="19"/>
  <c r="J9" i="19"/>
  <c r="J10" i="19"/>
  <c r="J11" i="19"/>
  <c r="J8" i="1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<sst xmlns="http://schemas.openxmlformats.org/spreadsheetml/2006/main" count="816" uniqueCount="365">
  <si>
    <t>一、</t>
    <phoneticPr fontId="1" type="noConversion"/>
  </si>
  <si>
    <t>三、</t>
    <phoneticPr fontId="1" type="noConversion"/>
  </si>
  <si>
    <t>认识数组</t>
    <phoneticPr fontId="1" type="noConversion"/>
  </si>
  <si>
    <t>1、数组生成原理</t>
    <phoneticPr fontId="1" type="noConversion"/>
  </si>
  <si>
    <t>2、SUMPRODUCT函数</t>
    <phoneticPr fontId="1" type="noConversion"/>
  </si>
  <si>
    <t>LOOKUP函数基本应用</t>
    <phoneticPr fontId="1" type="noConversion"/>
  </si>
  <si>
    <t>1、认识LOOKUP函数</t>
    <phoneticPr fontId="1" type="noConversion"/>
  </si>
  <si>
    <t>销售月份</t>
    <phoneticPr fontId="1" type="noConversion"/>
  </si>
  <si>
    <t>销售区域</t>
    <phoneticPr fontId="1" type="noConversion"/>
  </si>
  <si>
    <t>销售部门</t>
    <phoneticPr fontId="1" type="noConversion"/>
  </si>
  <si>
    <t>产品名称</t>
    <phoneticPr fontId="1" type="noConversion"/>
  </si>
  <si>
    <t>数量</t>
  </si>
  <si>
    <t>金额</t>
    <phoneticPr fontId="1" type="noConversion"/>
  </si>
  <si>
    <t>成本</t>
    <phoneticPr fontId="1" type="noConversion"/>
  </si>
  <si>
    <t>1月</t>
    <phoneticPr fontId="1" type="noConversion"/>
  </si>
  <si>
    <t>广州</t>
  </si>
  <si>
    <t>三科</t>
  </si>
  <si>
    <t>睡袋</t>
  </si>
  <si>
    <t>南宁</t>
  </si>
  <si>
    <t>二科</t>
    <phoneticPr fontId="1" type="noConversion"/>
  </si>
  <si>
    <t>北京</t>
  </si>
  <si>
    <t>一科</t>
    <phoneticPr fontId="1" type="noConversion"/>
  </si>
  <si>
    <t>上海</t>
  </si>
  <si>
    <t>销售区域</t>
    <phoneticPr fontId="1" type="noConversion"/>
  </si>
  <si>
    <t>部门</t>
    <phoneticPr fontId="5" type="noConversion"/>
  </si>
  <si>
    <t>全月应纳税所得额(元)</t>
    <phoneticPr fontId="1" type="noConversion"/>
  </si>
  <si>
    <t>税率</t>
    <phoneticPr fontId="1" type="noConversion"/>
  </si>
  <si>
    <t>速算扣除数(元)</t>
    <phoneticPr fontId="1" type="noConversion"/>
  </si>
  <si>
    <t>不超过1500</t>
    <phoneticPr fontId="1" type="noConversion"/>
  </si>
  <si>
    <t>税前月薪</t>
    <phoneticPr fontId="1" type="noConversion"/>
  </si>
  <si>
    <t>个税</t>
    <phoneticPr fontId="1" type="noConversion"/>
  </si>
  <si>
    <t>1500~4500</t>
  </si>
  <si>
    <t>4500~9000</t>
  </si>
  <si>
    <t>9000~35000</t>
  </si>
  <si>
    <t>35000~55000</t>
    <phoneticPr fontId="1" type="noConversion"/>
  </si>
  <si>
    <t>55000~80000</t>
    <phoneticPr fontId="1" type="noConversion"/>
  </si>
  <si>
    <t>超过80000</t>
    <phoneticPr fontId="1" type="noConversion"/>
  </si>
  <si>
    <t>客户ID</t>
  </si>
  <si>
    <t>公司名称</t>
  </si>
  <si>
    <t>联系人姓名</t>
  </si>
  <si>
    <t>联系人头衔</t>
  </si>
  <si>
    <t>AABBCCD</t>
  </si>
  <si>
    <t>三川实业有限公司</t>
  </si>
  <si>
    <t>刘小姐</t>
  </si>
  <si>
    <t>销售代表</t>
  </si>
  <si>
    <t>ANATR</t>
  </si>
  <si>
    <t>东南实业</t>
  </si>
  <si>
    <t>王先生</t>
  </si>
  <si>
    <t>物主</t>
  </si>
  <si>
    <t>ANTON</t>
  </si>
  <si>
    <t>坦森行贸易</t>
  </si>
  <si>
    <t>王炫皓</t>
  </si>
  <si>
    <t>AROUT</t>
  </si>
  <si>
    <t>国顶有限公司</t>
  </si>
  <si>
    <t>方先生</t>
  </si>
  <si>
    <t>BERGS</t>
  </si>
  <si>
    <t>通恒机械</t>
  </si>
  <si>
    <t>黄小姐</t>
  </si>
  <si>
    <t>采购员</t>
  </si>
  <si>
    <t>BLAUS</t>
  </si>
  <si>
    <t>森通</t>
  </si>
  <si>
    <t>BLONP</t>
  </si>
  <si>
    <t>国皓</t>
  </si>
  <si>
    <t>黄雅玲</t>
  </si>
  <si>
    <t>市场经理</t>
  </si>
  <si>
    <t>BOLID</t>
  </si>
  <si>
    <t>迈多贸易</t>
  </si>
  <si>
    <t>陈先生</t>
  </si>
  <si>
    <t>BONAP</t>
  </si>
  <si>
    <t>祥通</t>
  </si>
  <si>
    <t>刘先生</t>
  </si>
  <si>
    <t>BOTTM</t>
  </si>
  <si>
    <t>广通</t>
  </si>
  <si>
    <t>结算经理</t>
  </si>
  <si>
    <t>BSBEV</t>
  </si>
  <si>
    <t>光明杂志</t>
  </si>
  <si>
    <t>谢丽秋</t>
  </si>
  <si>
    <t>CACTU</t>
  </si>
  <si>
    <t>威航货运有限公司</t>
  </si>
  <si>
    <t>销售代理</t>
  </si>
  <si>
    <t>CENTC</t>
  </si>
  <si>
    <t>三捷实业</t>
  </si>
  <si>
    <t>CHOPS</t>
  </si>
  <si>
    <t>浩天旅行社</t>
  </si>
  <si>
    <t>COMMI</t>
  </si>
  <si>
    <t>同恒</t>
  </si>
  <si>
    <t>销售员</t>
  </si>
  <si>
    <t>CONSH</t>
  </si>
  <si>
    <t>万海</t>
  </si>
  <si>
    <t>林小姐</t>
  </si>
  <si>
    <t>DRACD</t>
  </si>
  <si>
    <t>世邦</t>
  </si>
  <si>
    <t>黎先生</t>
  </si>
  <si>
    <t>DUMON</t>
  </si>
  <si>
    <t>迈策船舶</t>
  </si>
  <si>
    <t>王俊元</t>
  </si>
  <si>
    <t>EASTC</t>
  </si>
  <si>
    <t>中通</t>
  </si>
  <si>
    <t>ERNSH</t>
  </si>
  <si>
    <t>正人资源</t>
  </si>
  <si>
    <t>谢小姐</t>
  </si>
  <si>
    <t>销售经理</t>
  </si>
  <si>
    <t>FAMIA</t>
  </si>
  <si>
    <t>红阳事业</t>
  </si>
  <si>
    <t>市场助理</t>
  </si>
  <si>
    <t>FISSA</t>
  </si>
  <si>
    <t>嘉元实业</t>
  </si>
  <si>
    <t>FOLIG</t>
  </si>
  <si>
    <t>嘉业</t>
  </si>
  <si>
    <t>助理销售代理</t>
  </si>
  <si>
    <t>FOLKO</t>
  </si>
  <si>
    <t>五洲信托</t>
  </si>
  <si>
    <t>苏先生</t>
  </si>
  <si>
    <t>FRANK</t>
  </si>
  <si>
    <t>友恒信托</t>
  </si>
  <si>
    <t>余小姐</t>
  </si>
  <si>
    <t>FRANR</t>
  </si>
  <si>
    <t>国银贸易</t>
  </si>
  <si>
    <t>FRANS</t>
  </si>
  <si>
    <t>文成</t>
  </si>
  <si>
    <t>唐小姐</t>
  </si>
  <si>
    <t>FURIB</t>
  </si>
  <si>
    <t>康浦</t>
  </si>
  <si>
    <t>GALED</t>
  </si>
  <si>
    <t>东旗</t>
  </si>
  <si>
    <t>GODOS</t>
  </si>
  <si>
    <t>建资</t>
  </si>
  <si>
    <t>GOURL</t>
  </si>
  <si>
    <t>业兴</t>
  </si>
  <si>
    <t>李柏麟</t>
  </si>
  <si>
    <t>GREAL</t>
  </si>
  <si>
    <t>仪和贸易</t>
  </si>
  <si>
    <t>GROSR</t>
  </si>
  <si>
    <t>光远商贸</t>
  </si>
  <si>
    <t>HANAR</t>
  </si>
  <si>
    <t>实翼</t>
  </si>
  <si>
    <t>HILAA</t>
  </si>
  <si>
    <t>远东开发</t>
  </si>
  <si>
    <t>HUNGC</t>
  </si>
  <si>
    <t>五金机械</t>
  </si>
  <si>
    <t>HUNGO</t>
  </si>
  <si>
    <t>师大贸易</t>
  </si>
  <si>
    <t>ISLAT</t>
  </si>
  <si>
    <t>鑫增贸易</t>
  </si>
  <si>
    <t>周先生</t>
  </si>
  <si>
    <t>KOENE</t>
  </si>
  <si>
    <t>永业房屋</t>
  </si>
  <si>
    <t>LACOR</t>
  </si>
  <si>
    <t>霸力建设</t>
  </si>
  <si>
    <t>LAMAI</t>
  </si>
  <si>
    <t>池春建设</t>
  </si>
  <si>
    <t>LAUGB</t>
  </si>
  <si>
    <t>和福建设</t>
  </si>
  <si>
    <t>LAZYK</t>
  </si>
  <si>
    <t>春永建设</t>
  </si>
  <si>
    <t>LEHMS</t>
  </si>
  <si>
    <t>幸义房屋</t>
  </si>
  <si>
    <t>LETSS</t>
  </si>
  <si>
    <t>兴中保险</t>
  </si>
  <si>
    <t>LILAS</t>
  </si>
  <si>
    <t>富泰人寿</t>
  </si>
  <si>
    <t>LINOD</t>
  </si>
  <si>
    <t>保信人寿</t>
  </si>
  <si>
    <t>LONEP</t>
  </si>
  <si>
    <t>正太实业</t>
  </si>
  <si>
    <t>林慧音</t>
  </si>
  <si>
    <t>MAGAA</t>
  </si>
  <si>
    <t>阳林</t>
  </si>
  <si>
    <t>MAISD</t>
  </si>
  <si>
    <t>悦海</t>
  </si>
  <si>
    <t>陈玉美</t>
  </si>
  <si>
    <t>MEREP</t>
  </si>
  <si>
    <t>华科</t>
  </si>
  <si>
    <t>吴小姐</t>
  </si>
  <si>
    <t>MORGK</t>
  </si>
  <si>
    <t>仲堂企业</t>
  </si>
  <si>
    <t>徐文彬</t>
  </si>
  <si>
    <t>NORTS</t>
  </si>
  <si>
    <t>富同企业</t>
  </si>
  <si>
    <t>OCEAN</t>
  </si>
  <si>
    <t>利合材料</t>
  </si>
  <si>
    <t>OLDWO</t>
  </si>
  <si>
    <t>瑞栈工艺</t>
  </si>
  <si>
    <t>OTTIK</t>
  </si>
  <si>
    <t>一诠精密工业</t>
  </si>
  <si>
    <t>PARIS</t>
  </si>
  <si>
    <t>立日股份有限公司</t>
  </si>
  <si>
    <t>PERIC</t>
  </si>
  <si>
    <t>就业广兑</t>
  </si>
  <si>
    <t>PICCO</t>
  </si>
  <si>
    <t>顶上系统</t>
  </si>
  <si>
    <t>PRINI</t>
  </si>
  <si>
    <t>康毅系统</t>
  </si>
  <si>
    <t>林彩瑜</t>
  </si>
  <si>
    <t>QUEDE</t>
  </si>
  <si>
    <t>兰格英语</t>
  </si>
  <si>
    <t>QUEEN</t>
  </si>
  <si>
    <t>留学服务中心</t>
  </si>
  <si>
    <t>赵小姐</t>
  </si>
  <si>
    <t>QUICK</t>
  </si>
  <si>
    <t>高上补习班</t>
  </si>
  <si>
    <t>徐先生</t>
  </si>
  <si>
    <t>RANCH</t>
  </si>
  <si>
    <t>大东补习班</t>
  </si>
  <si>
    <t>陈小姐</t>
  </si>
  <si>
    <t>RATTC</t>
  </si>
  <si>
    <t>学仁贸易</t>
  </si>
  <si>
    <t>助理销售代表</t>
  </si>
  <si>
    <t>REGGC</t>
  </si>
  <si>
    <t>建国科技</t>
  </si>
  <si>
    <t>RICAR</t>
  </si>
  <si>
    <t>宇欣实业</t>
  </si>
  <si>
    <t>RICSU</t>
  </si>
  <si>
    <t>永大企业</t>
  </si>
  <si>
    <t>ROMEY</t>
  </si>
  <si>
    <t>德化食品</t>
  </si>
  <si>
    <t>SANTG</t>
  </si>
  <si>
    <t>汉光企管</t>
  </si>
  <si>
    <t>SAVEA</t>
  </si>
  <si>
    <t>大钰贸易</t>
  </si>
  <si>
    <t>胡继尧</t>
  </si>
  <si>
    <t>SEVES</t>
  </si>
  <si>
    <t>艾德高科技</t>
  </si>
  <si>
    <t>SIMOB</t>
  </si>
  <si>
    <t>百达电子</t>
  </si>
  <si>
    <t>SPECD</t>
  </si>
  <si>
    <t>赐芳股份</t>
  </si>
  <si>
    <t>SPLIR</t>
  </si>
  <si>
    <t>昇昕股份有限公司</t>
  </si>
  <si>
    <t>SUPRD</t>
  </si>
  <si>
    <t>福星制衣厂股份有限公司</t>
  </si>
  <si>
    <t>THEBI</t>
  </si>
  <si>
    <t>上河工业</t>
  </si>
  <si>
    <t>THECR</t>
  </si>
  <si>
    <t>新巨企业</t>
  </si>
  <si>
    <t>成先生</t>
  </si>
  <si>
    <t>TOMSP</t>
  </si>
  <si>
    <t>东帝望</t>
  </si>
  <si>
    <t>TORTU</t>
  </si>
  <si>
    <t>协昌妮绒有限公司</t>
  </si>
  <si>
    <t>TRADH</t>
  </si>
  <si>
    <t>亚太公司</t>
  </si>
  <si>
    <t>TRAIH</t>
  </si>
  <si>
    <t>伸格公司</t>
  </si>
  <si>
    <t>VAFFE</t>
  </si>
  <si>
    <t>中硕贸易</t>
  </si>
  <si>
    <t>VICTE</t>
  </si>
  <si>
    <t>千固</t>
  </si>
  <si>
    <t>VINET</t>
  </si>
  <si>
    <t>山泰企业</t>
  </si>
  <si>
    <t>WANDK</t>
  </si>
  <si>
    <t>凯旋科技</t>
  </si>
  <si>
    <t>WARTH</t>
  </si>
  <si>
    <t>升格企业</t>
  </si>
  <si>
    <t>WELLI</t>
  </si>
  <si>
    <t>凯诚国际顾问公司</t>
  </si>
  <si>
    <t>WHITC</t>
  </si>
  <si>
    <t>椅天文化事业</t>
  </si>
  <si>
    <t>物主</t>
    <phoneticPr fontId="1" type="noConversion"/>
  </si>
  <si>
    <t>WILMK</t>
  </si>
  <si>
    <t>志远有限公司</t>
  </si>
  <si>
    <t>王小姐</t>
  </si>
  <si>
    <t>物主/市场助理</t>
  </si>
  <si>
    <t>WOLZA</t>
  </si>
  <si>
    <t>汉典电机</t>
  </si>
  <si>
    <t>四科</t>
    <phoneticPr fontId="8" type="noConversion"/>
  </si>
  <si>
    <t>数组可以称为矩阵{1,2,3}</t>
    <phoneticPr fontId="1" type="noConversion"/>
  </si>
  <si>
    <t>数组的创建选择一个区域A1:B5 这个区域所有数据组合为数组</t>
    <phoneticPr fontId="1" type="noConversion"/>
  </si>
  <si>
    <t>数组中数据参与运算时会进行一一对比 例如A1:A5=1</t>
    <phoneticPr fontId="1" type="noConversion"/>
  </si>
  <si>
    <t>起征点：</t>
    <phoneticPr fontId="1" type="noConversion"/>
  </si>
  <si>
    <t>同时数组计算的性能低于SUMIFS函数 不推荐使用多条件</t>
    <phoneticPr fontId="1" type="noConversion"/>
  </si>
  <si>
    <t>SUMPRODUCT(array1*,array2…)</t>
    <phoneticPr fontId="1" type="noConversion"/>
  </si>
  <si>
    <t>数组求和函数</t>
    <phoneticPr fontId="1" type="noConversion"/>
  </si>
  <si>
    <t>计算时会在内存中创建多个虚拟数组进行运算 低于SUMIFS函数性能</t>
    <phoneticPr fontId="1" type="noConversion"/>
  </si>
  <si>
    <t>性能对比结果 SUMPRODUCT=SUM({}) &lt; SUMIFS</t>
    <phoneticPr fontId="1" type="noConversion"/>
  </si>
  <si>
    <t>LOOKUP(lookup_value, lookup_vector, [result_vector])</t>
    <phoneticPr fontId="1" type="noConversion"/>
  </si>
  <si>
    <t>参数1:</t>
    <phoneticPr fontId="1" type="noConversion"/>
  </si>
  <si>
    <t>查找条件*</t>
    <phoneticPr fontId="1" type="noConversion"/>
  </si>
  <si>
    <t>参数2:</t>
    <phoneticPr fontId="1" type="noConversion"/>
  </si>
  <si>
    <t>查找区域*</t>
    <phoneticPr fontId="1" type="noConversion"/>
  </si>
  <si>
    <t>参数3:</t>
    <phoneticPr fontId="1" type="noConversion"/>
  </si>
  <si>
    <t>引用区域*</t>
    <phoneticPr fontId="1" type="noConversion"/>
  </si>
  <si>
    <t>自由度大但是使用的是模糊查找方式</t>
  </si>
  <si>
    <t>2、LOOKUP函数多条件精确匹配</t>
    <phoneticPr fontId="1" type="noConversion"/>
  </si>
  <si>
    <t>LOOKUP开启精确查找 使用计算错误值使LOOKUP跳过查找</t>
    <phoneticPr fontId="1" type="noConversion"/>
  </si>
  <si>
    <t>海鲜粉</t>
  </si>
  <si>
    <t>酱油</t>
  </si>
  <si>
    <t>蟹</t>
  </si>
  <si>
    <t>麻油</t>
  </si>
  <si>
    <t>大众奶酪</t>
  </si>
  <si>
    <t>胡椒粉</t>
  </si>
  <si>
    <t>如果使用的是低版本Excel，输入公式后需要CTRL+SHIFT+ENTER</t>
    <phoneticPr fontId="18" type="noConversion"/>
  </si>
  <si>
    <t>鸡</t>
  </si>
  <si>
    <t>总计金额</t>
    <phoneticPr fontId="18" type="noConversion"/>
  </si>
  <si>
    <t>折扣</t>
  </si>
  <si>
    <t>单价</t>
  </si>
  <si>
    <t>产品</t>
  </si>
  <si>
    <t>订单ID</t>
  </si>
  <si>
    <t>早期Excel版本数组公式使用command+shift+enter方式创建</t>
    <phoneticPr fontId="1" type="noConversion"/>
  </si>
  <si>
    <t>对于数组公式的结果可以使用 F9进行查看</t>
    <phoneticPr fontId="1" type="noConversion"/>
  </si>
  <si>
    <t>二、</t>
    <phoneticPr fontId="1" type="noConversion"/>
  </si>
  <si>
    <t>Filter函数</t>
    <phoneticPr fontId="1" type="noConversion"/>
  </si>
  <si>
    <t>FILTER(array,include,[if_empty])</t>
    <phoneticPr fontId="1" type="noConversion"/>
  </si>
  <si>
    <t>筛选的数组或区域*</t>
    <phoneticPr fontId="1" type="noConversion"/>
  </si>
  <si>
    <t>布尔值数组*</t>
    <phoneticPr fontId="1" type="noConversion"/>
  </si>
  <si>
    <t>数组中值为空时返回值</t>
    <phoneticPr fontId="1" type="noConversion"/>
  </si>
  <si>
    <t>城市</t>
  </si>
  <si>
    <t>货主地区</t>
  </si>
  <si>
    <t>华北</t>
  </si>
  <si>
    <t>济南</t>
  </si>
  <si>
    <t>华东</t>
  </si>
  <si>
    <t>秦皇岛</t>
  </si>
  <si>
    <t>南京</t>
  </si>
  <si>
    <t>长春</t>
  </si>
  <si>
    <t>东北</t>
  </si>
  <si>
    <t>长治</t>
  </si>
  <si>
    <t>武汉</t>
  </si>
  <si>
    <t>华中</t>
  </si>
  <si>
    <t>青岛</t>
  </si>
  <si>
    <t>烟台</t>
  </si>
  <si>
    <t>深圳</t>
  </si>
  <si>
    <t>华南</t>
  </si>
  <si>
    <t>昆明</t>
  </si>
  <si>
    <t>西南</t>
  </si>
  <si>
    <t>厦门</t>
  </si>
  <si>
    <t>温州</t>
  </si>
  <si>
    <t>张家口</t>
  </si>
  <si>
    <t>重庆</t>
  </si>
  <si>
    <t>南昌</t>
  </si>
  <si>
    <t>成都</t>
  </si>
  <si>
    <t>大连</t>
  </si>
  <si>
    <t>天津</t>
  </si>
  <si>
    <t>石家庄</t>
  </si>
  <si>
    <t>海口</t>
  </si>
  <si>
    <t>常州</t>
  </si>
  <si>
    <t>西安</t>
  </si>
  <si>
    <t>西北</t>
  </si>
  <si>
    <t>TRANSPOSE(array)</t>
    <phoneticPr fontId="1" type="noConversion"/>
  </si>
  <si>
    <t>数组转置函数 切换横向与纵向排列</t>
    <phoneticPr fontId="1" type="noConversion"/>
  </si>
  <si>
    <t>函数版筛选功能 过滤函数</t>
    <phoneticPr fontId="1" type="noConversion"/>
  </si>
  <si>
    <t>UNIQUE函数</t>
    <phoneticPr fontId="1" type="noConversion"/>
  </si>
  <si>
    <t>宽度与高度需与数组相同 用来判断哪项需要保留</t>
    <phoneticPr fontId="1" type="noConversion"/>
  </si>
  <si>
    <t>UNIQUE(array,[by_col],[exactly_once])</t>
    <phoneticPr fontId="1" type="noConversion"/>
  </si>
  <si>
    <t>唯一值函数 用来筛选重复项</t>
    <phoneticPr fontId="1" type="noConversion"/>
  </si>
  <si>
    <t>月份</t>
    <phoneticPr fontId="18" type="noConversion"/>
  </si>
  <si>
    <t>销售人员</t>
    <phoneticPr fontId="18" type="noConversion"/>
  </si>
  <si>
    <t>销售地区</t>
    <phoneticPr fontId="18" type="noConversion"/>
  </si>
  <si>
    <t>销量</t>
    <phoneticPr fontId="18" type="noConversion"/>
  </si>
  <si>
    <t>1月</t>
    <phoneticPr fontId="18" type="noConversion"/>
  </si>
  <si>
    <t>张三</t>
    <phoneticPr fontId="18" type="noConversion"/>
  </si>
  <si>
    <t>北京</t>
    <phoneticPr fontId="18" type="noConversion"/>
  </si>
  <si>
    <t>李四</t>
    <phoneticPr fontId="18" type="noConversion"/>
  </si>
  <si>
    <t>上海</t>
    <phoneticPr fontId="18" type="noConversion"/>
  </si>
  <si>
    <t>王五</t>
    <phoneticPr fontId="18" type="noConversion"/>
  </si>
  <si>
    <t>广州</t>
    <phoneticPr fontId="18" type="noConversion"/>
  </si>
  <si>
    <t>深圳</t>
    <phoneticPr fontId="18" type="noConversion"/>
  </si>
  <si>
    <t>苏州</t>
    <phoneticPr fontId="18" type="noConversion"/>
  </si>
  <si>
    <t>成都</t>
    <phoneticPr fontId="18" type="noConversion"/>
  </si>
  <si>
    <t>南京</t>
    <phoneticPr fontId="18" type="noConversion"/>
  </si>
  <si>
    <t>重庆</t>
    <phoneticPr fontId="18" type="noConversion"/>
  </si>
  <si>
    <t>武汉</t>
    <phoneticPr fontId="18" type="noConversion"/>
  </si>
  <si>
    <t>2月</t>
    <phoneticPr fontId="18" type="noConversion"/>
  </si>
  <si>
    <t>赵六</t>
    <phoneticPr fontId="18" type="noConversion"/>
  </si>
  <si>
    <t>田七</t>
    <phoneticPr fontId="18" type="noConversion"/>
  </si>
  <si>
    <t>销售人员数量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</si>
</sst>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#,##0.00_ "/>
    <numFmt numFmtId="178" formatCode="0.00_);[Red]\(0.00\)"/>
  </numFmts>
  <fonts count="23">
    <font>
      <sz val="12"/>
      <name val="宋体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  <font>
      <sz val="9"/>
      <color indexed="8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3" tint="-0.249977111117893"/>
      <name val="宋体"/>
      <family val="3"/>
      <charset val="134"/>
    </font>
    <font>
      <b/>
      <sz val="10"/>
      <color theme="0"/>
      <name val="宋体"/>
      <family val="3"/>
      <charset val="134"/>
    </font>
    <font>
      <b/>
      <sz val="9"/>
      <color theme="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rgb="FFFFFFFF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theme="0"/>
      <name val="宋体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indexed="0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000000"/>
      </patternFill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7" fillId="0" borderId="0">
      <alignment vertical="center"/>
    </xf>
  </cellStyleXfs>
  <cellXfs count="50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10" fillId="0" borderId="3" xfId="0" applyFont="1" applyBorder="1"/>
    <xf numFmtId="0" fontId="2" fillId="0" borderId="2" xfId="0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Protection="1">
      <protection locked="0"/>
    </xf>
    <xf numFmtId="0" fontId="12" fillId="0" borderId="3" xfId="0" applyFont="1" applyBorder="1" applyAlignment="1">
      <alignment wrapText="1"/>
    </xf>
    <xf numFmtId="0" fontId="2" fillId="0" borderId="0" xfId="0" applyFont="1"/>
    <xf numFmtId="0" fontId="13" fillId="0" borderId="2" xfId="0" applyFont="1" applyBorder="1" applyAlignment="1">
      <alignment horizontal="center" vertical="center"/>
    </xf>
    <xf numFmtId="9" fontId="13" fillId="0" borderId="2" xfId="0" applyNumberFormat="1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4" fillId="0" borderId="0" xfId="0" applyFont="1" applyProtection="1">
      <protection locked="0"/>
    </xf>
    <xf numFmtId="0" fontId="15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15" fillId="2" borderId="2" xfId="1" applyFont="1" applyFill="1" applyBorder="1" applyAlignment="1">
      <alignment horizontal="center" vertical="center" wrapText="1"/>
    </xf>
    <xf numFmtId="176" fontId="15" fillId="2" borderId="2" xfId="1" applyNumberFormat="1" applyFont="1" applyFill="1" applyBorder="1" applyAlignment="1">
      <alignment horizontal="center" vertical="center" wrapText="1"/>
    </xf>
    <xf numFmtId="177" fontId="15" fillId="2" borderId="2" xfId="1" applyNumberFormat="1" applyFont="1" applyFill="1" applyBorder="1" applyAlignment="1">
      <alignment horizontal="center" vertical="center" wrapText="1"/>
    </xf>
    <xf numFmtId="0" fontId="15" fillId="2" borderId="2" xfId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2" fillId="0" borderId="4" xfId="0" applyFont="1" applyBorder="1" applyAlignment="1">
      <alignment wrapText="1"/>
    </xf>
    <xf numFmtId="0" fontId="15" fillId="3" borderId="0" xfId="0" applyFont="1" applyFill="1" applyAlignment="1">
      <alignment horizontal="center"/>
    </xf>
    <xf numFmtId="0" fontId="10" fillId="0" borderId="4" xfId="0" applyFont="1" applyBorder="1"/>
    <xf numFmtId="0" fontId="16" fillId="3" borderId="0" xfId="0" applyFont="1" applyFill="1" applyAlignment="1">
      <alignment horizontal="center"/>
    </xf>
    <xf numFmtId="0" fontId="17" fillId="0" borderId="0" xfId="2">
      <alignment vertical="center"/>
    </xf>
    <xf numFmtId="0" fontId="17" fillId="0" borderId="0" xfId="2" applyAlignment="1"/>
    <xf numFmtId="14" fontId="17" fillId="0" borderId="0" xfId="2" applyNumberFormat="1" applyAlignment="1"/>
    <xf numFmtId="178" fontId="17" fillId="0" borderId="0" xfId="2" applyNumberFormat="1" applyAlignment="1"/>
    <xf numFmtId="0" fontId="19" fillId="4" borderId="0" xfId="2" applyFont="1" applyFill="1" applyAlignment="1"/>
    <xf numFmtId="0" fontId="21" fillId="0" borderId="0" xfId="0" applyFont="1"/>
    <xf numFmtId="0" fontId="19" fillId="4" borderId="2" xfId="0" applyFont="1" applyFill="1" applyBorder="1"/>
    <xf numFmtId="0" fontId="0" fillId="0" borderId="2" xfId="0" applyBorder="1"/>
    <xf numFmtId="0" fontId="0" fillId="0" borderId="2" xfId="0" applyBorder="1" applyAlignment="1">
      <alignment vertical="center"/>
    </xf>
    <xf numFmtId="0" fontId="20" fillId="5" borderId="0" xfId="0" applyFont="1" applyFill="1"/>
    <xf numFmtId="0" fontId="19" fillId="4" borderId="5" xfId="0" applyFont="1" applyFill="1" applyBorder="1" applyAlignment="1">
      <alignment horizontal="center"/>
    </xf>
    <xf numFmtId="0" fontId="19" fillId="4" borderId="6" xfId="0" applyFont="1" applyFill="1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vertical="center"/>
    </xf>
    <xf numFmtId="0" fontId="22" fillId="6" borderId="0" xfId="0" applyFont="1" applyFill="1"/>
    <xf numFmtId="0" fontId="19" fillId="6" borderId="0" xfId="0" applyFont="1" applyFill="1"/>
    <xf numFmtId="0" fontId="19" fillId="0" borderId="0" xfId="0" applyFont="1"/>
  </cellXfs>
  <cellStyles count="3">
    <cellStyle name="常规" xfId="0" builtinId="0"/>
    <cellStyle name="常规 2" xfId="2" xr:uid="{9E8BB65B-2610-AD42-8F32-F7F6E2A5F789}"/>
    <cellStyle name="常规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2:H53"/>
  <sheetViews>
    <sheetView tabSelected="1" topLeftCell="A21" zoomScale="150" zoomScaleNormal="150" workbookViewId="0">
      <selection activeCell="F39" sqref="F39"/>
    </sheetView>
  </sheetViews>
  <sheetFormatPr baseColWidth="10" defaultColWidth="9" defaultRowHeight="15"/>
  <cols>
    <col min="1" max="3" width="9" style="1"/>
    <col min="4" max="4" width="16.6640625" style="1" bestFit="1" customWidth="1"/>
    <col min="5" max="6" width="9" style="1"/>
    <col min="7" max="8" width="9.33203125" style="1" bestFit="1" customWidth="1"/>
    <col min="9" max="16384" width="9" style="1"/>
  </cols>
  <sheetData>
    <row r="2" spans="1:5" s="2" customFormat="1" ht="16" thickBot="1"/>
    <row r="3" spans="1:5" ht="16" thickTop="1"/>
    <row r="4" spans="1:5" s="3" customFormat="1" ht="14">
      <c r="A4" s="3" t="s">
        <v>0</v>
      </c>
      <c r="B4" s="4" t="s">
        <v>2</v>
      </c>
    </row>
    <row r="5" spans="1:5" s="3" customFormat="1" ht="14"/>
    <row r="6" spans="1:5" s="3" customFormat="1" ht="14">
      <c r="B6" s="3" t="s">
        <v>3</v>
      </c>
    </row>
    <row r="7" spans="1:5" s="3" customFormat="1" ht="14">
      <c r="C7" s="21" t="s">
        <v>266</v>
      </c>
    </row>
    <row r="8" spans="1:5" s="3" customFormat="1" ht="14">
      <c r="C8" s="21" t="s">
        <v>267</v>
      </c>
    </row>
    <row r="9" spans="1:5" s="3" customFormat="1" ht="14">
      <c r="C9" s="21" t="s">
        <v>268</v>
      </c>
    </row>
    <row r="10" spans="1:5" s="3" customFormat="1" ht="14">
      <c r="C10" s="21" t="s">
        <v>270</v>
      </c>
    </row>
    <row r="11" spans="1:5" s="3" customFormat="1" ht="14">
      <c r="C11" s="21" t="s">
        <v>298</v>
      </c>
    </row>
    <row r="12" spans="1:5" s="3" customFormat="1" ht="14">
      <c r="C12" s="21" t="s">
        <v>299</v>
      </c>
    </row>
    <row r="13" spans="1:5" s="3" customFormat="1" ht="14"/>
    <row r="14" spans="1:5" s="3" customFormat="1" ht="14">
      <c r="B14" s="3" t="s">
        <v>4</v>
      </c>
    </row>
    <row r="15" spans="1:5" s="3" customFormat="1" ht="14">
      <c r="C15" s="21" t="s">
        <v>271</v>
      </c>
      <c r="E15" s="21" t="s">
        <v>272</v>
      </c>
    </row>
    <row r="16" spans="1:5" s="3" customFormat="1" ht="14">
      <c r="C16" s="21" t="s">
        <v>273</v>
      </c>
    </row>
    <row r="17" spans="1:8" s="3" customFormat="1" ht="14">
      <c r="C17" s="21" t="s">
        <v>274</v>
      </c>
      <c r="H17" s="13"/>
    </row>
    <row r="18" spans="1:8" s="3" customFormat="1" ht="14">
      <c r="C18" s="21"/>
      <c r="H18" s="13"/>
    </row>
    <row r="19" spans="1:8" s="3" customFormat="1" ht="14">
      <c r="A19" s="3" t="s">
        <v>300</v>
      </c>
      <c r="B19" s="13" t="s">
        <v>301</v>
      </c>
      <c r="C19" s="21"/>
      <c r="H19" s="13"/>
    </row>
    <row r="20" spans="1:8" s="3" customFormat="1" ht="14">
      <c r="B20" s="13"/>
      <c r="C20" s="21" t="s">
        <v>339</v>
      </c>
      <c r="H20" s="13"/>
    </row>
    <row r="21" spans="1:8" s="3" customFormat="1" ht="14">
      <c r="C21" s="21" t="s">
        <v>302</v>
      </c>
      <c r="D21" s="21"/>
      <c r="E21" s="21"/>
      <c r="H21" s="13"/>
    </row>
    <row r="22" spans="1:8" s="3" customFormat="1" ht="14">
      <c r="C22" s="21" t="s">
        <v>276</v>
      </c>
      <c r="D22" s="21" t="s">
        <v>303</v>
      </c>
      <c r="E22" s="21"/>
      <c r="H22" s="13"/>
    </row>
    <row r="23" spans="1:8" s="3" customFormat="1" ht="14">
      <c r="C23" s="21" t="s">
        <v>278</v>
      </c>
      <c r="D23" s="21" t="s">
        <v>304</v>
      </c>
      <c r="E23" s="21" t="s">
        <v>341</v>
      </c>
      <c r="H23" s="13"/>
    </row>
    <row r="24" spans="1:8" s="3" customFormat="1" ht="14">
      <c r="C24" s="21" t="s">
        <v>280</v>
      </c>
      <c r="D24" s="21" t="s">
        <v>305</v>
      </c>
      <c r="E24" s="21"/>
      <c r="H24" s="13"/>
    </row>
    <row r="25" spans="1:8" s="3" customFormat="1" ht="14">
      <c r="C25" s="21"/>
      <c r="D25" s="21"/>
      <c r="E25" s="21"/>
      <c r="H25" s="13"/>
    </row>
    <row r="26" spans="1:8" s="3" customFormat="1" ht="14">
      <c r="C26" s="21" t="s">
        <v>337</v>
      </c>
      <c r="D26" s="21"/>
      <c r="H26" s="13"/>
    </row>
    <row r="27" spans="1:8" s="3" customFormat="1" ht="14">
      <c r="C27" s="21" t="s">
        <v>338</v>
      </c>
      <c r="D27" s="21"/>
      <c r="E27" s="21"/>
      <c r="H27" s="13"/>
    </row>
    <row r="28" spans="1:8" s="3" customFormat="1" ht="14">
      <c r="C28" s="21"/>
      <c r="D28" s="21"/>
      <c r="E28" s="21"/>
      <c r="H28" s="13"/>
    </row>
    <row r="29" spans="1:8" s="3" customFormat="1" ht="14">
      <c r="A29" s="3" t="s">
        <v>1</v>
      </c>
      <c r="B29" s="13" t="s">
        <v>340</v>
      </c>
      <c r="C29" s="21"/>
      <c r="D29" s="21"/>
      <c r="E29" s="21"/>
      <c r="H29" s="13"/>
    </row>
    <row r="30" spans="1:8" s="3" customFormat="1" ht="14">
      <c r="C30" s="21" t="s">
        <v>343</v>
      </c>
      <c r="D30" s="21"/>
      <c r="E30" s="21"/>
      <c r="H30" s="13"/>
    </row>
    <row r="31" spans="1:8" s="3" customFormat="1" ht="14">
      <c r="C31" s="21" t="s">
        <v>342</v>
      </c>
      <c r="D31" s="21"/>
      <c r="E31" s="21"/>
      <c r="H31" s="13"/>
    </row>
    <row r="32" spans="1:8" s="3" customFormat="1" ht="14"/>
    <row r="33" spans="1:8" s="3" customFormat="1" ht="14">
      <c r="A33" s="3" t="s">
        <v>1</v>
      </c>
      <c r="B33" s="4" t="s">
        <v>5</v>
      </c>
    </row>
    <row r="34" spans="1:8" s="3" customFormat="1" ht="14"/>
    <row r="35" spans="1:8" s="3" customFormat="1" ht="14">
      <c r="B35" s="3" t="s">
        <v>6</v>
      </c>
    </row>
    <row r="36" spans="1:8" s="3" customFormat="1" ht="14">
      <c r="C36" s="21" t="s">
        <v>275</v>
      </c>
      <c r="D36" s="21"/>
      <c r="H36" s="13"/>
    </row>
    <row r="37" spans="1:8" s="3" customFormat="1" ht="14">
      <c r="C37" s="21" t="s">
        <v>276</v>
      </c>
      <c r="D37" s="21" t="s">
        <v>277</v>
      </c>
      <c r="H37" s="13"/>
    </row>
    <row r="38" spans="1:8" s="3" customFormat="1" ht="14">
      <c r="C38" s="21" t="s">
        <v>278</v>
      </c>
      <c r="D38" s="21" t="s">
        <v>279</v>
      </c>
      <c r="H38" s="13"/>
    </row>
    <row r="39" spans="1:8" s="3" customFormat="1" ht="14">
      <c r="C39" s="21" t="s">
        <v>280</v>
      </c>
      <c r="D39" s="21" t="s">
        <v>281</v>
      </c>
      <c r="H39" s="13"/>
    </row>
    <row r="40" spans="1:8" s="3" customFormat="1" ht="14">
      <c r="C40" s="21" t="s">
        <v>282</v>
      </c>
      <c r="D40" s="21"/>
      <c r="H40" s="13"/>
    </row>
    <row r="41" spans="1:8" s="3" customFormat="1" ht="14"/>
    <row r="42" spans="1:8" s="3" customFormat="1" ht="14">
      <c r="B42" s="3" t="s">
        <v>283</v>
      </c>
      <c r="C42" s="5"/>
    </row>
    <row r="43" spans="1:8" s="3" customFormat="1" ht="14">
      <c r="C43" s="21" t="s">
        <v>284</v>
      </c>
    </row>
    <row r="44" spans="1:8" s="3" customFormat="1" ht="14"/>
    <row r="45" spans="1:8" s="3" customFormat="1" ht="14"/>
    <row r="46" spans="1:8" s="3" customFormat="1" ht="14">
      <c r="C46" s="5"/>
    </row>
    <row r="47" spans="1:8">
      <c r="A47" s="3"/>
      <c r="C47" s="3"/>
      <c r="D47" s="3"/>
      <c r="E47" s="3"/>
      <c r="F47" s="3"/>
      <c r="G47" s="3"/>
    </row>
    <row r="48" spans="1:8">
      <c r="C48" s="3"/>
      <c r="E48" s="3"/>
    </row>
    <row r="49" spans="3:5">
      <c r="C49" s="3"/>
      <c r="E49" s="3"/>
    </row>
    <row r="50" spans="3:5">
      <c r="E50" s="3"/>
    </row>
    <row r="51" spans="3:5">
      <c r="E51" s="3"/>
    </row>
    <row r="52" spans="3:5">
      <c r="E52" s="3"/>
    </row>
    <row r="53" spans="3:5">
      <c r="E53" s="3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4AF0E-CD83-9D4F-A4CF-A4A31C0E40C2}">
  <sheetPr>
    <tabColor theme="4"/>
  </sheetPr>
  <dimension ref="A1:I809"/>
  <sheetViews>
    <sheetView zoomScale="120" zoomScaleNormal="120" workbookViewId="0">
      <selection activeCell="I14" sqref="I14"/>
    </sheetView>
  </sheetViews>
  <sheetFormatPr baseColWidth="10" defaultColWidth="8.83203125" defaultRowHeight="14"/>
  <cols>
    <col min="1" max="1" width="7.1640625" style="34" customWidth="1"/>
    <col min="2" max="2" width="9.1640625" style="34" customWidth="1"/>
    <col min="3" max="3" width="7.83203125" style="34" customWidth="1"/>
    <col min="4" max="5" width="11.33203125" style="34" customWidth="1"/>
    <col min="6" max="8" width="8.83203125" style="33"/>
    <col min="9" max="9" width="16.5" style="33" customWidth="1"/>
    <col min="10" max="16384" width="8.83203125" style="33"/>
  </cols>
  <sheetData>
    <row r="1" spans="1:9">
      <c r="A1" s="37" t="s">
        <v>297</v>
      </c>
      <c r="B1" s="37" t="s">
        <v>296</v>
      </c>
      <c r="C1" s="37" t="s">
        <v>295</v>
      </c>
      <c r="D1" s="37" t="s">
        <v>11</v>
      </c>
      <c r="E1" s="37" t="s">
        <v>294</v>
      </c>
      <c r="I1" s="37" t="s">
        <v>293</v>
      </c>
    </row>
    <row r="2" spans="1:9">
      <c r="A2" s="34">
        <v>10346</v>
      </c>
      <c r="B2" s="34" t="s">
        <v>285</v>
      </c>
      <c r="C2" s="34">
        <v>31.2</v>
      </c>
      <c r="D2" s="36">
        <v>36</v>
      </c>
      <c r="E2" s="36">
        <v>0.1</v>
      </c>
      <c r="I2" s="33" cm="1">
        <f t="array" ref="I2">SUM(C2:C30*D2:D30*(1-E2:E30))</f>
        <v>15898.14</v>
      </c>
    </row>
    <row r="3" spans="1:9" ht="15">
      <c r="A3" s="34">
        <v>10347</v>
      </c>
      <c r="B3" s="34" t="s">
        <v>290</v>
      </c>
      <c r="C3" s="34">
        <v>11.2</v>
      </c>
      <c r="D3" s="36">
        <v>10</v>
      </c>
      <c r="E3" s="36">
        <v>0</v>
      </c>
      <c r="I3" s="7" cm="1">
        <f t="array" ref="I3">SUM((B2:B30="海鲜粉")*(D2:D30&gt;=30)*D2:D30)</f>
        <v>126</v>
      </c>
    </row>
    <row r="4" spans="1:9">
      <c r="A4" s="34">
        <v>10348</v>
      </c>
      <c r="B4" s="34" t="s">
        <v>288</v>
      </c>
      <c r="C4" s="34">
        <v>14.4</v>
      </c>
      <c r="D4" s="36">
        <v>15</v>
      </c>
      <c r="E4" s="36">
        <v>0.15</v>
      </c>
    </row>
    <row r="5" spans="1:9">
      <c r="A5" s="34">
        <v>10349</v>
      </c>
      <c r="B5" s="34" t="s">
        <v>292</v>
      </c>
      <c r="C5" s="34">
        <v>5.9</v>
      </c>
      <c r="D5" s="36">
        <v>24</v>
      </c>
      <c r="E5" s="36">
        <v>0</v>
      </c>
    </row>
    <row r="6" spans="1:9">
      <c r="A6" s="34">
        <v>10350</v>
      </c>
      <c r="B6" s="34" t="s">
        <v>288</v>
      </c>
      <c r="C6" s="34">
        <v>13</v>
      </c>
      <c r="D6" s="36">
        <v>15</v>
      </c>
      <c r="E6" s="36">
        <v>0.1</v>
      </c>
    </row>
    <row r="7" spans="1:9">
      <c r="A7" s="34">
        <v>10351</v>
      </c>
      <c r="B7" s="34" t="s">
        <v>285</v>
      </c>
      <c r="C7" s="34">
        <v>210.8</v>
      </c>
      <c r="D7" s="36">
        <v>20</v>
      </c>
      <c r="E7" s="36">
        <v>0.05</v>
      </c>
      <c r="I7" s="33" t="s">
        <v>291</v>
      </c>
    </row>
    <row r="8" spans="1:9">
      <c r="A8" s="34">
        <v>10352</v>
      </c>
      <c r="B8" s="34" t="s">
        <v>285</v>
      </c>
      <c r="C8" s="34">
        <v>3.6</v>
      </c>
      <c r="D8" s="36">
        <v>10</v>
      </c>
      <c r="E8" s="36">
        <v>0</v>
      </c>
    </row>
    <row r="9" spans="1:9">
      <c r="A9" s="34">
        <v>10353</v>
      </c>
      <c r="B9" s="34" t="s">
        <v>290</v>
      </c>
      <c r="C9" s="34">
        <v>16.8</v>
      </c>
      <c r="D9" s="36">
        <v>12</v>
      </c>
      <c r="E9" s="36">
        <v>0.2</v>
      </c>
    </row>
    <row r="10" spans="1:9">
      <c r="A10" s="34">
        <v>10354</v>
      </c>
      <c r="B10" s="34" t="s">
        <v>288</v>
      </c>
      <c r="C10" s="34">
        <v>14.4</v>
      </c>
      <c r="D10" s="36">
        <v>12</v>
      </c>
      <c r="E10" s="36">
        <v>0</v>
      </c>
    </row>
    <row r="11" spans="1:9">
      <c r="A11" s="34">
        <v>10355</v>
      </c>
      <c r="B11" s="34" t="s">
        <v>285</v>
      </c>
      <c r="C11" s="34">
        <v>3.6</v>
      </c>
      <c r="D11" s="36">
        <v>25</v>
      </c>
      <c r="E11" s="36">
        <v>0</v>
      </c>
    </row>
    <row r="12" spans="1:9">
      <c r="A12" s="34">
        <v>10356</v>
      </c>
      <c r="B12" s="34" t="s">
        <v>285</v>
      </c>
      <c r="C12" s="34">
        <v>10</v>
      </c>
      <c r="D12" s="36">
        <v>30</v>
      </c>
      <c r="E12" s="36">
        <v>0</v>
      </c>
    </row>
    <row r="13" spans="1:9">
      <c r="A13" s="34">
        <v>10357</v>
      </c>
      <c r="B13" s="34" t="s">
        <v>285</v>
      </c>
      <c r="C13" s="34">
        <v>24.8</v>
      </c>
      <c r="D13" s="36">
        <v>30</v>
      </c>
      <c r="E13" s="36">
        <v>0.2</v>
      </c>
    </row>
    <row r="14" spans="1:9">
      <c r="A14" s="34">
        <v>10358</v>
      </c>
      <c r="B14" s="34" t="s">
        <v>285</v>
      </c>
      <c r="C14" s="34">
        <v>3.6</v>
      </c>
      <c r="D14" s="36">
        <v>10</v>
      </c>
      <c r="E14" s="36">
        <v>0.05</v>
      </c>
    </row>
    <row r="15" spans="1:9">
      <c r="A15" s="34">
        <v>10359</v>
      </c>
      <c r="B15" s="34" t="s">
        <v>286</v>
      </c>
      <c r="C15" s="34">
        <v>13.9</v>
      </c>
      <c r="D15" s="36">
        <v>56</v>
      </c>
      <c r="E15" s="36">
        <v>0.05</v>
      </c>
    </row>
    <row r="16" spans="1:9">
      <c r="A16" s="34">
        <v>10360</v>
      </c>
      <c r="B16" s="34" t="s">
        <v>289</v>
      </c>
      <c r="C16" s="34">
        <v>36.4</v>
      </c>
      <c r="D16" s="36">
        <v>30</v>
      </c>
      <c r="E16" s="36">
        <v>0</v>
      </c>
    </row>
    <row r="17" spans="1:5">
      <c r="A17" s="34">
        <v>10361</v>
      </c>
      <c r="B17" s="34" t="s">
        <v>290</v>
      </c>
      <c r="C17" s="34">
        <v>14.4</v>
      </c>
      <c r="D17" s="36">
        <v>54</v>
      </c>
      <c r="E17" s="36">
        <v>0.1</v>
      </c>
    </row>
    <row r="18" spans="1:5">
      <c r="A18" s="34">
        <v>10362</v>
      </c>
      <c r="B18" s="34" t="s">
        <v>290</v>
      </c>
      <c r="C18" s="34">
        <v>11.2</v>
      </c>
      <c r="D18" s="36">
        <v>50</v>
      </c>
      <c r="E18" s="36">
        <v>0</v>
      </c>
    </row>
    <row r="19" spans="1:5">
      <c r="A19" s="34">
        <v>10363</v>
      </c>
      <c r="B19" s="34" t="s">
        <v>285</v>
      </c>
      <c r="C19" s="34">
        <v>10</v>
      </c>
      <c r="D19" s="36">
        <v>20</v>
      </c>
      <c r="E19" s="36">
        <v>0</v>
      </c>
    </row>
    <row r="20" spans="1:5">
      <c r="A20" s="34">
        <v>10364</v>
      </c>
      <c r="B20" s="34" t="s">
        <v>287</v>
      </c>
      <c r="C20" s="34">
        <v>28.8</v>
      </c>
      <c r="D20" s="36">
        <v>30</v>
      </c>
      <c r="E20" s="36">
        <v>0</v>
      </c>
    </row>
    <row r="21" spans="1:5">
      <c r="A21" s="34">
        <v>10365</v>
      </c>
      <c r="B21" s="34" t="s">
        <v>290</v>
      </c>
      <c r="C21" s="34">
        <v>16.8</v>
      </c>
      <c r="D21" s="36">
        <v>24</v>
      </c>
      <c r="E21" s="36">
        <v>0</v>
      </c>
    </row>
    <row r="22" spans="1:5">
      <c r="A22" s="34">
        <v>10366</v>
      </c>
      <c r="B22" s="34" t="s">
        <v>286</v>
      </c>
      <c r="C22" s="34">
        <v>16.8</v>
      </c>
      <c r="D22" s="36">
        <v>5</v>
      </c>
      <c r="E22" s="36">
        <v>0</v>
      </c>
    </row>
    <row r="23" spans="1:5">
      <c r="A23" s="34">
        <v>10367</v>
      </c>
      <c r="B23" s="34" t="s">
        <v>287</v>
      </c>
      <c r="C23" s="34">
        <v>11.2</v>
      </c>
      <c r="D23" s="36">
        <v>36</v>
      </c>
      <c r="E23" s="36">
        <v>0</v>
      </c>
    </row>
    <row r="24" spans="1:5">
      <c r="A24" s="34">
        <v>10368</v>
      </c>
      <c r="B24" s="34" t="s">
        <v>289</v>
      </c>
      <c r="C24" s="34">
        <v>8</v>
      </c>
      <c r="D24" s="36">
        <v>5</v>
      </c>
      <c r="E24" s="36">
        <v>0.1</v>
      </c>
    </row>
    <row r="25" spans="1:5">
      <c r="A25" s="34">
        <v>10369</v>
      </c>
      <c r="B25" s="34" t="s">
        <v>288</v>
      </c>
      <c r="C25" s="34">
        <v>99</v>
      </c>
      <c r="D25" s="36">
        <v>20</v>
      </c>
      <c r="E25" s="36">
        <v>0</v>
      </c>
    </row>
    <row r="26" spans="1:5">
      <c r="A26" s="34">
        <v>10370</v>
      </c>
      <c r="B26" s="34" t="s">
        <v>288</v>
      </c>
      <c r="C26" s="34">
        <v>14.4</v>
      </c>
      <c r="D26" s="36">
        <v>15</v>
      </c>
      <c r="E26" s="36">
        <v>0.15</v>
      </c>
    </row>
    <row r="27" spans="1:5">
      <c r="A27" s="34">
        <v>10371</v>
      </c>
      <c r="B27" s="34" t="s">
        <v>288</v>
      </c>
      <c r="C27" s="34">
        <v>15.2</v>
      </c>
      <c r="D27" s="36">
        <v>6</v>
      </c>
      <c r="E27" s="36">
        <v>0.2</v>
      </c>
    </row>
    <row r="28" spans="1:5">
      <c r="A28" s="34">
        <v>10372</v>
      </c>
      <c r="B28" s="34" t="s">
        <v>287</v>
      </c>
      <c r="C28" s="34">
        <v>64.8</v>
      </c>
      <c r="D28" s="36">
        <v>12</v>
      </c>
      <c r="E28" s="36">
        <v>0.25</v>
      </c>
    </row>
    <row r="29" spans="1:5">
      <c r="A29" s="34">
        <v>10373</v>
      </c>
      <c r="B29" s="34" t="s">
        <v>286</v>
      </c>
      <c r="C29" s="34">
        <v>10.6</v>
      </c>
      <c r="D29" s="36">
        <v>80</v>
      </c>
      <c r="E29" s="36">
        <v>0.2</v>
      </c>
    </row>
    <row r="30" spans="1:5">
      <c r="A30" s="34">
        <v>10374</v>
      </c>
      <c r="B30" s="34" t="s">
        <v>285</v>
      </c>
      <c r="C30" s="34">
        <v>10</v>
      </c>
      <c r="D30" s="36">
        <v>30</v>
      </c>
      <c r="E30" s="36">
        <v>0</v>
      </c>
    </row>
    <row r="31" spans="1:5">
      <c r="D31" s="35"/>
      <c r="E31" s="35"/>
    </row>
    <row r="32" spans="1:5">
      <c r="D32" s="35"/>
      <c r="E32" s="35"/>
    </row>
    <row r="33" spans="4:5">
      <c r="D33" s="35"/>
      <c r="E33" s="35"/>
    </row>
    <row r="34" spans="4:5">
      <c r="D34" s="35"/>
      <c r="E34" s="35"/>
    </row>
    <row r="35" spans="4:5">
      <c r="D35" s="35"/>
      <c r="E35" s="35"/>
    </row>
    <row r="36" spans="4:5">
      <c r="D36" s="35"/>
      <c r="E36" s="35"/>
    </row>
    <row r="37" spans="4:5">
      <c r="D37" s="35"/>
      <c r="E37" s="35"/>
    </row>
    <row r="38" spans="4:5">
      <c r="D38" s="35"/>
      <c r="E38" s="35"/>
    </row>
    <row r="39" spans="4:5">
      <c r="D39" s="35"/>
      <c r="E39" s="35"/>
    </row>
    <row r="40" spans="4:5">
      <c r="D40" s="35"/>
      <c r="E40" s="35"/>
    </row>
    <row r="41" spans="4:5">
      <c r="D41" s="35"/>
      <c r="E41" s="35"/>
    </row>
    <row r="42" spans="4:5">
      <c r="D42" s="35"/>
      <c r="E42" s="35"/>
    </row>
    <row r="43" spans="4:5">
      <c r="D43" s="35"/>
      <c r="E43" s="35"/>
    </row>
    <row r="44" spans="4:5">
      <c r="D44" s="35"/>
      <c r="E44" s="35"/>
    </row>
    <row r="45" spans="4:5">
      <c r="D45" s="35"/>
      <c r="E45" s="35"/>
    </row>
    <row r="46" spans="4:5">
      <c r="D46" s="35"/>
      <c r="E46" s="35"/>
    </row>
    <row r="47" spans="4:5">
      <c r="D47" s="35"/>
      <c r="E47" s="35"/>
    </row>
    <row r="48" spans="4:5">
      <c r="D48" s="35"/>
      <c r="E48" s="35"/>
    </row>
    <row r="49" spans="4:5">
      <c r="D49" s="35"/>
      <c r="E49" s="35"/>
    </row>
    <row r="50" spans="4:5">
      <c r="D50" s="35"/>
      <c r="E50" s="35"/>
    </row>
    <row r="51" spans="4:5">
      <c r="D51" s="35"/>
      <c r="E51" s="35"/>
    </row>
    <row r="52" spans="4:5">
      <c r="D52" s="35"/>
      <c r="E52" s="35"/>
    </row>
    <row r="53" spans="4:5">
      <c r="D53" s="35"/>
      <c r="E53" s="35"/>
    </row>
    <row r="54" spans="4:5">
      <c r="D54" s="35"/>
      <c r="E54" s="35"/>
    </row>
    <row r="55" spans="4:5">
      <c r="D55" s="35"/>
      <c r="E55" s="35"/>
    </row>
    <row r="56" spans="4:5">
      <c r="D56" s="35"/>
      <c r="E56" s="35"/>
    </row>
    <row r="57" spans="4:5">
      <c r="D57" s="35"/>
      <c r="E57" s="35"/>
    </row>
    <row r="58" spans="4:5">
      <c r="D58" s="35"/>
      <c r="E58" s="35"/>
    </row>
    <row r="59" spans="4:5">
      <c r="D59" s="35"/>
      <c r="E59" s="35"/>
    </row>
    <row r="60" spans="4:5">
      <c r="D60" s="35"/>
      <c r="E60" s="35"/>
    </row>
    <row r="61" spans="4:5">
      <c r="D61" s="35"/>
      <c r="E61" s="35"/>
    </row>
    <row r="62" spans="4:5">
      <c r="D62" s="35"/>
      <c r="E62" s="35"/>
    </row>
    <row r="63" spans="4:5">
      <c r="D63" s="35"/>
      <c r="E63" s="35"/>
    </row>
    <row r="64" spans="4:5">
      <c r="D64" s="35"/>
      <c r="E64" s="35"/>
    </row>
    <row r="65" spans="4:5">
      <c r="D65" s="35"/>
      <c r="E65" s="35"/>
    </row>
    <row r="66" spans="4:5">
      <c r="D66" s="35"/>
      <c r="E66" s="35"/>
    </row>
    <row r="67" spans="4:5">
      <c r="D67" s="35"/>
      <c r="E67" s="35"/>
    </row>
    <row r="68" spans="4:5">
      <c r="D68" s="35"/>
      <c r="E68" s="35"/>
    </row>
    <row r="69" spans="4:5">
      <c r="D69" s="35"/>
      <c r="E69" s="35"/>
    </row>
    <row r="70" spans="4:5">
      <c r="D70" s="35"/>
      <c r="E70" s="35"/>
    </row>
    <row r="71" spans="4:5">
      <c r="D71" s="35"/>
      <c r="E71" s="35"/>
    </row>
    <row r="72" spans="4:5">
      <c r="D72" s="35"/>
      <c r="E72" s="35"/>
    </row>
    <row r="73" spans="4:5">
      <c r="D73" s="35"/>
      <c r="E73" s="35"/>
    </row>
    <row r="74" spans="4:5">
      <c r="D74" s="35"/>
      <c r="E74" s="35"/>
    </row>
    <row r="75" spans="4:5">
      <c r="D75" s="35"/>
      <c r="E75" s="35"/>
    </row>
    <row r="76" spans="4:5">
      <c r="D76" s="35"/>
      <c r="E76" s="35"/>
    </row>
    <row r="77" spans="4:5">
      <c r="D77" s="35"/>
      <c r="E77" s="35"/>
    </row>
    <row r="78" spans="4:5">
      <c r="D78" s="35"/>
      <c r="E78" s="35"/>
    </row>
    <row r="79" spans="4:5">
      <c r="D79" s="35"/>
      <c r="E79" s="35"/>
    </row>
    <row r="80" spans="4:5">
      <c r="D80" s="35"/>
      <c r="E80" s="35"/>
    </row>
    <row r="81" spans="4:5">
      <c r="D81" s="35"/>
      <c r="E81" s="35"/>
    </row>
    <row r="82" spans="4:5">
      <c r="D82" s="35"/>
      <c r="E82" s="35"/>
    </row>
    <row r="83" spans="4:5">
      <c r="D83" s="35"/>
      <c r="E83" s="35"/>
    </row>
    <row r="84" spans="4:5">
      <c r="D84" s="35"/>
      <c r="E84" s="35"/>
    </row>
    <row r="85" spans="4:5">
      <c r="D85" s="35"/>
      <c r="E85" s="35"/>
    </row>
    <row r="86" spans="4:5">
      <c r="D86" s="35"/>
      <c r="E86" s="35"/>
    </row>
    <row r="87" spans="4:5">
      <c r="D87" s="35"/>
      <c r="E87" s="35"/>
    </row>
    <row r="88" spans="4:5">
      <c r="D88" s="35"/>
      <c r="E88" s="35"/>
    </row>
    <row r="89" spans="4:5">
      <c r="D89" s="35"/>
      <c r="E89" s="35"/>
    </row>
    <row r="90" spans="4:5">
      <c r="D90" s="35"/>
      <c r="E90" s="35"/>
    </row>
    <row r="91" spans="4:5">
      <c r="D91" s="35"/>
      <c r="E91" s="35"/>
    </row>
    <row r="92" spans="4:5">
      <c r="D92" s="35"/>
      <c r="E92" s="35"/>
    </row>
    <row r="93" spans="4:5">
      <c r="D93" s="35"/>
      <c r="E93" s="35"/>
    </row>
    <row r="94" spans="4:5">
      <c r="D94" s="35"/>
      <c r="E94" s="35"/>
    </row>
    <row r="95" spans="4:5">
      <c r="D95" s="35"/>
      <c r="E95" s="35"/>
    </row>
    <row r="96" spans="4:5">
      <c r="D96" s="35"/>
      <c r="E96" s="35"/>
    </row>
    <row r="97" spans="4:5">
      <c r="D97" s="35"/>
      <c r="E97" s="35"/>
    </row>
    <row r="98" spans="4:5">
      <c r="D98" s="35"/>
      <c r="E98" s="35"/>
    </row>
    <row r="99" spans="4:5">
      <c r="D99" s="35"/>
      <c r="E99" s="35"/>
    </row>
    <row r="100" spans="4:5">
      <c r="D100" s="35"/>
      <c r="E100" s="35"/>
    </row>
    <row r="101" spans="4:5">
      <c r="D101" s="35"/>
      <c r="E101" s="35"/>
    </row>
    <row r="102" spans="4:5">
      <c r="D102" s="35"/>
      <c r="E102" s="35"/>
    </row>
    <row r="103" spans="4:5">
      <c r="D103" s="35"/>
      <c r="E103" s="35"/>
    </row>
    <row r="104" spans="4:5">
      <c r="D104" s="35"/>
      <c r="E104" s="35"/>
    </row>
    <row r="105" spans="4:5">
      <c r="D105" s="35"/>
      <c r="E105" s="35"/>
    </row>
    <row r="106" spans="4:5">
      <c r="D106" s="35"/>
      <c r="E106" s="35"/>
    </row>
    <row r="107" spans="4:5">
      <c r="D107" s="35"/>
      <c r="E107" s="35"/>
    </row>
    <row r="108" spans="4:5">
      <c r="D108" s="35"/>
      <c r="E108" s="35"/>
    </row>
    <row r="109" spans="4:5">
      <c r="D109" s="35"/>
      <c r="E109" s="35"/>
    </row>
    <row r="110" spans="4:5">
      <c r="D110" s="35"/>
      <c r="E110" s="35"/>
    </row>
    <row r="111" spans="4:5">
      <c r="D111" s="35"/>
      <c r="E111" s="35"/>
    </row>
    <row r="112" spans="4:5">
      <c r="D112" s="35"/>
      <c r="E112" s="35"/>
    </row>
    <row r="113" spans="4:5">
      <c r="D113" s="35"/>
      <c r="E113" s="35"/>
    </row>
    <row r="114" spans="4:5">
      <c r="D114" s="35"/>
      <c r="E114" s="35"/>
    </row>
    <row r="115" spans="4:5">
      <c r="D115" s="35"/>
      <c r="E115" s="35"/>
    </row>
    <row r="116" spans="4:5">
      <c r="D116" s="35"/>
      <c r="E116" s="35"/>
    </row>
    <row r="117" spans="4:5">
      <c r="D117" s="35"/>
      <c r="E117" s="35"/>
    </row>
    <row r="118" spans="4:5">
      <c r="D118" s="35"/>
      <c r="E118" s="35"/>
    </row>
    <row r="119" spans="4:5">
      <c r="D119" s="35"/>
      <c r="E119" s="35"/>
    </row>
    <row r="120" spans="4:5">
      <c r="D120" s="35"/>
      <c r="E120" s="35"/>
    </row>
    <row r="121" spans="4:5">
      <c r="D121" s="35"/>
      <c r="E121" s="35"/>
    </row>
    <row r="122" spans="4:5">
      <c r="D122" s="35"/>
      <c r="E122" s="35"/>
    </row>
    <row r="123" spans="4:5">
      <c r="D123" s="35"/>
      <c r="E123" s="35"/>
    </row>
    <row r="124" spans="4:5">
      <c r="D124" s="35"/>
      <c r="E124" s="35"/>
    </row>
    <row r="125" spans="4:5">
      <c r="D125" s="35"/>
      <c r="E125" s="35"/>
    </row>
    <row r="126" spans="4:5">
      <c r="D126" s="35"/>
      <c r="E126" s="35"/>
    </row>
    <row r="127" spans="4:5">
      <c r="D127" s="35"/>
      <c r="E127" s="35"/>
    </row>
    <row r="128" spans="4:5">
      <c r="D128" s="35"/>
      <c r="E128" s="35"/>
    </row>
    <row r="129" spans="4:5">
      <c r="D129" s="35"/>
      <c r="E129" s="35"/>
    </row>
    <row r="130" spans="4:5">
      <c r="D130" s="35"/>
      <c r="E130" s="35"/>
    </row>
    <row r="131" spans="4:5">
      <c r="D131" s="35"/>
      <c r="E131" s="35"/>
    </row>
    <row r="132" spans="4:5">
      <c r="D132" s="35"/>
      <c r="E132" s="35"/>
    </row>
    <row r="133" spans="4:5">
      <c r="D133" s="35"/>
      <c r="E133" s="35"/>
    </row>
    <row r="134" spans="4:5">
      <c r="D134" s="35"/>
      <c r="E134" s="35"/>
    </row>
    <row r="135" spans="4:5">
      <c r="D135" s="35"/>
      <c r="E135" s="35"/>
    </row>
    <row r="136" spans="4:5">
      <c r="D136" s="35"/>
      <c r="E136" s="35"/>
    </row>
    <row r="137" spans="4:5">
      <c r="D137" s="35"/>
      <c r="E137" s="35"/>
    </row>
    <row r="138" spans="4:5">
      <c r="D138" s="35"/>
      <c r="E138" s="35"/>
    </row>
    <row r="139" spans="4:5">
      <c r="D139" s="35"/>
      <c r="E139" s="35"/>
    </row>
    <row r="140" spans="4:5">
      <c r="D140" s="35"/>
      <c r="E140" s="35"/>
    </row>
    <row r="141" spans="4:5">
      <c r="D141" s="35"/>
      <c r="E141" s="35"/>
    </row>
    <row r="142" spans="4:5">
      <c r="D142" s="35"/>
      <c r="E142" s="35"/>
    </row>
    <row r="143" spans="4:5">
      <c r="D143" s="35"/>
      <c r="E143" s="35"/>
    </row>
    <row r="144" spans="4:5">
      <c r="D144" s="35"/>
      <c r="E144" s="35"/>
    </row>
    <row r="145" spans="4:5">
      <c r="D145" s="35"/>
      <c r="E145" s="35"/>
    </row>
    <row r="146" spans="4:5">
      <c r="D146" s="35"/>
      <c r="E146" s="35"/>
    </row>
    <row r="147" spans="4:5">
      <c r="D147" s="35"/>
      <c r="E147" s="35"/>
    </row>
    <row r="148" spans="4:5">
      <c r="D148" s="35"/>
      <c r="E148" s="35"/>
    </row>
    <row r="149" spans="4:5">
      <c r="D149" s="35"/>
      <c r="E149" s="35"/>
    </row>
    <row r="150" spans="4:5">
      <c r="D150" s="35"/>
      <c r="E150" s="35"/>
    </row>
    <row r="151" spans="4:5">
      <c r="D151" s="35"/>
      <c r="E151" s="35"/>
    </row>
    <row r="152" spans="4:5">
      <c r="D152" s="35"/>
      <c r="E152" s="35"/>
    </row>
    <row r="153" spans="4:5">
      <c r="D153" s="35"/>
      <c r="E153" s="35"/>
    </row>
    <row r="154" spans="4:5">
      <c r="D154" s="35"/>
      <c r="E154" s="35"/>
    </row>
    <row r="155" spans="4:5">
      <c r="D155" s="35"/>
      <c r="E155" s="35"/>
    </row>
    <row r="156" spans="4:5">
      <c r="D156" s="35"/>
      <c r="E156" s="35"/>
    </row>
    <row r="157" spans="4:5">
      <c r="D157" s="35"/>
      <c r="E157" s="35"/>
    </row>
    <row r="158" spans="4:5">
      <c r="D158" s="35"/>
      <c r="E158" s="35"/>
    </row>
    <row r="159" spans="4:5">
      <c r="D159" s="35"/>
      <c r="E159" s="35"/>
    </row>
    <row r="160" spans="4:5">
      <c r="D160" s="35"/>
      <c r="E160" s="35"/>
    </row>
    <row r="161" spans="4:5">
      <c r="D161" s="35"/>
      <c r="E161" s="35"/>
    </row>
    <row r="162" spans="4:5">
      <c r="D162" s="35"/>
      <c r="E162" s="35"/>
    </row>
    <row r="163" spans="4:5">
      <c r="D163" s="35"/>
      <c r="E163" s="35"/>
    </row>
    <row r="164" spans="4:5">
      <c r="D164" s="35"/>
      <c r="E164" s="35"/>
    </row>
    <row r="165" spans="4:5">
      <c r="D165" s="35"/>
      <c r="E165" s="35"/>
    </row>
    <row r="166" spans="4:5">
      <c r="D166" s="35"/>
      <c r="E166" s="35"/>
    </row>
    <row r="167" spans="4:5">
      <c r="D167" s="35"/>
      <c r="E167" s="35"/>
    </row>
    <row r="168" spans="4:5">
      <c r="D168" s="35"/>
      <c r="E168" s="35"/>
    </row>
    <row r="169" spans="4:5">
      <c r="D169" s="35"/>
      <c r="E169" s="35"/>
    </row>
    <row r="170" spans="4:5">
      <c r="D170" s="35"/>
      <c r="E170" s="35"/>
    </row>
    <row r="171" spans="4:5">
      <c r="D171" s="35"/>
      <c r="E171" s="35"/>
    </row>
    <row r="172" spans="4:5">
      <c r="D172" s="35"/>
      <c r="E172" s="35"/>
    </row>
    <row r="173" spans="4:5">
      <c r="D173" s="35"/>
      <c r="E173" s="35"/>
    </row>
    <row r="174" spans="4:5">
      <c r="D174" s="35"/>
      <c r="E174" s="35"/>
    </row>
    <row r="175" spans="4:5">
      <c r="D175" s="35"/>
      <c r="E175" s="35"/>
    </row>
    <row r="176" spans="4:5">
      <c r="D176" s="35"/>
      <c r="E176" s="35"/>
    </row>
    <row r="177" spans="4:5">
      <c r="D177" s="35"/>
      <c r="E177" s="35"/>
    </row>
    <row r="178" spans="4:5">
      <c r="D178" s="35"/>
      <c r="E178" s="35"/>
    </row>
    <row r="179" spans="4:5">
      <c r="D179" s="35"/>
      <c r="E179" s="35"/>
    </row>
    <row r="180" spans="4:5">
      <c r="D180" s="35"/>
      <c r="E180" s="35"/>
    </row>
    <row r="181" spans="4:5">
      <c r="D181" s="35"/>
      <c r="E181" s="35"/>
    </row>
    <row r="182" spans="4:5">
      <c r="D182" s="35"/>
      <c r="E182" s="35"/>
    </row>
    <row r="183" spans="4:5">
      <c r="D183" s="35"/>
      <c r="E183" s="35"/>
    </row>
    <row r="184" spans="4:5">
      <c r="D184" s="35"/>
      <c r="E184" s="35"/>
    </row>
    <row r="185" spans="4:5">
      <c r="D185" s="35"/>
      <c r="E185" s="35"/>
    </row>
    <row r="186" spans="4:5">
      <c r="D186" s="35"/>
      <c r="E186" s="35"/>
    </row>
    <row r="187" spans="4:5">
      <c r="D187" s="35"/>
      <c r="E187" s="35"/>
    </row>
    <row r="188" spans="4:5">
      <c r="D188" s="35"/>
      <c r="E188" s="35"/>
    </row>
    <row r="189" spans="4:5">
      <c r="D189" s="35"/>
      <c r="E189" s="35"/>
    </row>
    <row r="190" spans="4:5">
      <c r="D190" s="35"/>
      <c r="E190" s="35"/>
    </row>
    <row r="191" spans="4:5">
      <c r="D191" s="35"/>
      <c r="E191" s="35"/>
    </row>
    <row r="192" spans="4:5">
      <c r="D192" s="35"/>
      <c r="E192" s="35"/>
    </row>
    <row r="193" spans="4:5">
      <c r="D193" s="35"/>
      <c r="E193" s="35"/>
    </row>
    <row r="194" spans="4:5">
      <c r="D194" s="35"/>
      <c r="E194" s="35"/>
    </row>
    <row r="195" spans="4:5">
      <c r="D195" s="35"/>
      <c r="E195" s="35"/>
    </row>
    <row r="196" spans="4:5">
      <c r="D196" s="35"/>
      <c r="E196" s="35"/>
    </row>
    <row r="197" spans="4:5">
      <c r="D197" s="35"/>
      <c r="E197" s="35"/>
    </row>
    <row r="198" spans="4:5">
      <c r="D198" s="35"/>
      <c r="E198" s="35"/>
    </row>
    <row r="199" spans="4:5">
      <c r="D199" s="35"/>
      <c r="E199" s="35"/>
    </row>
    <row r="200" spans="4:5">
      <c r="D200" s="35"/>
      <c r="E200" s="35"/>
    </row>
    <row r="201" spans="4:5">
      <c r="D201" s="35"/>
      <c r="E201" s="35"/>
    </row>
    <row r="202" spans="4:5">
      <c r="D202" s="35"/>
      <c r="E202" s="35"/>
    </row>
    <row r="203" spans="4:5">
      <c r="D203" s="35"/>
      <c r="E203" s="35"/>
    </row>
    <row r="204" spans="4:5">
      <c r="D204" s="35"/>
      <c r="E204" s="35"/>
    </row>
    <row r="205" spans="4:5">
      <c r="D205" s="35"/>
      <c r="E205" s="35"/>
    </row>
    <row r="206" spans="4:5">
      <c r="D206" s="35"/>
      <c r="E206" s="35"/>
    </row>
    <row r="207" spans="4:5">
      <c r="D207" s="35"/>
      <c r="E207" s="35"/>
    </row>
    <row r="208" spans="4:5">
      <c r="D208" s="35"/>
      <c r="E208" s="35"/>
    </row>
    <row r="209" spans="4:5">
      <c r="D209" s="35"/>
      <c r="E209" s="35"/>
    </row>
    <row r="210" spans="4:5">
      <c r="D210" s="35"/>
      <c r="E210" s="35"/>
    </row>
    <row r="211" spans="4:5">
      <c r="D211" s="35"/>
      <c r="E211" s="35"/>
    </row>
    <row r="212" spans="4:5">
      <c r="D212" s="35"/>
      <c r="E212" s="35"/>
    </row>
    <row r="213" spans="4:5">
      <c r="D213" s="35"/>
      <c r="E213" s="35"/>
    </row>
    <row r="214" spans="4:5">
      <c r="D214" s="35"/>
      <c r="E214" s="35"/>
    </row>
    <row r="215" spans="4:5">
      <c r="D215" s="35"/>
      <c r="E215" s="35"/>
    </row>
    <row r="216" spans="4:5">
      <c r="D216" s="35"/>
      <c r="E216" s="35"/>
    </row>
    <row r="217" spans="4:5">
      <c r="D217" s="35"/>
      <c r="E217" s="35"/>
    </row>
    <row r="218" spans="4:5">
      <c r="D218" s="35"/>
      <c r="E218" s="35"/>
    </row>
    <row r="219" spans="4:5">
      <c r="D219" s="35"/>
      <c r="E219" s="35"/>
    </row>
    <row r="220" spans="4:5">
      <c r="D220" s="35"/>
      <c r="E220" s="35"/>
    </row>
    <row r="221" spans="4:5">
      <c r="D221" s="35"/>
      <c r="E221" s="35"/>
    </row>
    <row r="222" spans="4:5">
      <c r="D222" s="35"/>
      <c r="E222" s="35"/>
    </row>
    <row r="223" spans="4:5">
      <c r="D223" s="35"/>
      <c r="E223" s="35"/>
    </row>
    <row r="224" spans="4:5">
      <c r="D224" s="35"/>
      <c r="E224" s="35"/>
    </row>
    <row r="225" spans="4:5">
      <c r="D225" s="35"/>
      <c r="E225" s="35"/>
    </row>
    <row r="226" spans="4:5">
      <c r="D226" s="35"/>
      <c r="E226" s="35"/>
    </row>
    <row r="227" spans="4:5">
      <c r="D227" s="35"/>
      <c r="E227" s="35"/>
    </row>
    <row r="228" spans="4:5">
      <c r="D228" s="35"/>
      <c r="E228" s="35"/>
    </row>
    <row r="229" spans="4:5">
      <c r="D229" s="35"/>
      <c r="E229" s="35"/>
    </row>
    <row r="230" spans="4:5">
      <c r="D230" s="35"/>
      <c r="E230" s="35"/>
    </row>
    <row r="231" spans="4:5">
      <c r="D231" s="35"/>
      <c r="E231" s="35"/>
    </row>
    <row r="232" spans="4:5">
      <c r="D232" s="35"/>
      <c r="E232" s="35"/>
    </row>
    <row r="233" spans="4:5">
      <c r="D233" s="35"/>
      <c r="E233" s="35"/>
    </row>
    <row r="234" spans="4:5">
      <c r="D234" s="35"/>
      <c r="E234" s="35"/>
    </row>
    <row r="235" spans="4:5">
      <c r="D235" s="35"/>
      <c r="E235" s="35"/>
    </row>
    <row r="236" spans="4:5">
      <c r="D236" s="35"/>
      <c r="E236" s="35"/>
    </row>
    <row r="237" spans="4:5">
      <c r="D237" s="35"/>
      <c r="E237" s="35"/>
    </row>
    <row r="238" spans="4:5">
      <c r="D238" s="35"/>
      <c r="E238" s="35"/>
    </row>
    <row r="239" spans="4:5">
      <c r="D239" s="35"/>
      <c r="E239" s="35"/>
    </row>
    <row r="240" spans="4:5">
      <c r="D240" s="35"/>
      <c r="E240" s="35"/>
    </row>
    <row r="241" spans="4:5">
      <c r="D241" s="35"/>
      <c r="E241" s="35"/>
    </row>
    <row r="242" spans="4:5">
      <c r="D242" s="35"/>
      <c r="E242" s="35"/>
    </row>
    <row r="243" spans="4:5">
      <c r="D243" s="35"/>
      <c r="E243" s="35"/>
    </row>
    <row r="244" spans="4:5">
      <c r="D244" s="35"/>
      <c r="E244" s="35"/>
    </row>
    <row r="245" spans="4:5">
      <c r="D245" s="35"/>
      <c r="E245" s="35"/>
    </row>
    <row r="246" spans="4:5">
      <c r="D246" s="35"/>
      <c r="E246" s="35"/>
    </row>
    <row r="247" spans="4:5">
      <c r="D247" s="35"/>
      <c r="E247" s="35"/>
    </row>
    <row r="248" spans="4:5">
      <c r="D248" s="35"/>
      <c r="E248" s="35"/>
    </row>
    <row r="249" spans="4:5">
      <c r="D249" s="35"/>
      <c r="E249" s="35"/>
    </row>
    <row r="250" spans="4:5">
      <c r="D250" s="35"/>
      <c r="E250" s="35"/>
    </row>
    <row r="251" spans="4:5">
      <c r="D251" s="35"/>
      <c r="E251" s="35"/>
    </row>
    <row r="252" spans="4:5">
      <c r="D252" s="35"/>
      <c r="E252" s="35"/>
    </row>
    <row r="253" spans="4:5">
      <c r="D253" s="35"/>
      <c r="E253" s="35"/>
    </row>
    <row r="254" spans="4:5">
      <c r="D254" s="35"/>
      <c r="E254" s="35"/>
    </row>
    <row r="255" spans="4:5">
      <c r="D255" s="35"/>
      <c r="E255" s="35"/>
    </row>
    <row r="256" spans="4:5">
      <c r="D256" s="35"/>
      <c r="E256" s="35"/>
    </row>
    <row r="257" spans="4:5">
      <c r="D257" s="35"/>
      <c r="E257" s="35"/>
    </row>
    <row r="258" spans="4:5">
      <c r="D258" s="35"/>
      <c r="E258" s="35"/>
    </row>
    <row r="259" spans="4:5">
      <c r="D259" s="35"/>
      <c r="E259" s="35"/>
    </row>
    <row r="260" spans="4:5">
      <c r="D260" s="35"/>
      <c r="E260" s="35"/>
    </row>
    <row r="261" spans="4:5">
      <c r="D261" s="35"/>
      <c r="E261" s="35"/>
    </row>
    <row r="262" spans="4:5">
      <c r="D262" s="35"/>
      <c r="E262" s="35"/>
    </row>
    <row r="263" spans="4:5">
      <c r="D263" s="35"/>
      <c r="E263" s="35"/>
    </row>
    <row r="264" spans="4:5">
      <c r="D264" s="35"/>
      <c r="E264" s="35"/>
    </row>
    <row r="265" spans="4:5">
      <c r="D265" s="35"/>
      <c r="E265" s="35"/>
    </row>
    <row r="266" spans="4:5">
      <c r="D266" s="35"/>
      <c r="E266" s="35"/>
    </row>
    <row r="267" spans="4:5">
      <c r="D267" s="35"/>
      <c r="E267" s="35"/>
    </row>
    <row r="268" spans="4:5">
      <c r="D268" s="35"/>
      <c r="E268" s="35"/>
    </row>
    <row r="269" spans="4:5">
      <c r="D269" s="35"/>
      <c r="E269" s="35"/>
    </row>
    <row r="270" spans="4:5">
      <c r="D270" s="35"/>
      <c r="E270" s="35"/>
    </row>
    <row r="271" spans="4:5">
      <c r="D271" s="35"/>
      <c r="E271" s="35"/>
    </row>
    <row r="272" spans="4:5">
      <c r="D272" s="35"/>
      <c r="E272" s="35"/>
    </row>
    <row r="273" spans="4:5">
      <c r="D273" s="35"/>
      <c r="E273" s="35"/>
    </row>
    <row r="274" spans="4:5">
      <c r="D274" s="35"/>
      <c r="E274" s="35"/>
    </row>
    <row r="275" spans="4:5">
      <c r="D275" s="35"/>
      <c r="E275" s="35"/>
    </row>
    <row r="276" spans="4:5">
      <c r="D276" s="35"/>
      <c r="E276" s="35"/>
    </row>
    <row r="277" spans="4:5">
      <c r="D277" s="35"/>
      <c r="E277" s="35"/>
    </row>
    <row r="278" spans="4:5">
      <c r="D278" s="35"/>
      <c r="E278" s="35"/>
    </row>
    <row r="279" spans="4:5">
      <c r="D279" s="35"/>
      <c r="E279" s="35"/>
    </row>
    <row r="280" spans="4:5">
      <c r="D280" s="35"/>
      <c r="E280" s="35"/>
    </row>
    <row r="281" spans="4:5">
      <c r="D281" s="35"/>
      <c r="E281" s="35"/>
    </row>
    <row r="282" spans="4:5">
      <c r="D282" s="35"/>
      <c r="E282" s="35"/>
    </row>
    <row r="283" spans="4:5">
      <c r="D283" s="35"/>
      <c r="E283" s="35"/>
    </row>
    <row r="284" spans="4:5">
      <c r="D284" s="35"/>
      <c r="E284" s="35"/>
    </row>
    <row r="285" spans="4:5">
      <c r="D285" s="35"/>
      <c r="E285" s="35"/>
    </row>
    <row r="286" spans="4:5">
      <c r="D286" s="35"/>
      <c r="E286" s="35"/>
    </row>
    <row r="287" spans="4:5">
      <c r="D287" s="35"/>
      <c r="E287" s="35"/>
    </row>
    <row r="288" spans="4:5">
      <c r="D288" s="35"/>
      <c r="E288" s="35"/>
    </row>
    <row r="289" spans="4:5">
      <c r="D289" s="35"/>
      <c r="E289" s="35"/>
    </row>
    <row r="290" spans="4:5">
      <c r="D290" s="35"/>
      <c r="E290" s="35"/>
    </row>
    <row r="291" spans="4:5">
      <c r="D291" s="35"/>
      <c r="E291" s="35"/>
    </row>
    <row r="292" spans="4:5">
      <c r="D292" s="35"/>
      <c r="E292" s="35"/>
    </row>
    <row r="293" spans="4:5">
      <c r="D293" s="35"/>
      <c r="E293" s="35"/>
    </row>
    <row r="294" spans="4:5">
      <c r="D294" s="35"/>
      <c r="E294" s="35"/>
    </row>
    <row r="295" spans="4:5">
      <c r="D295" s="35"/>
      <c r="E295" s="35"/>
    </row>
    <row r="296" spans="4:5">
      <c r="D296" s="35"/>
      <c r="E296" s="35"/>
    </row>
    <row r="297" spans="4:5">
      <c r="D297" s="35"/>
      <c r="E297" s="35"/>
    </row>
    <row r="298" spans="4:5">
      <c r="D298" s="35"/>
      <c r="E298" s="35"/>
    </row>
    <row r="299" spans="4:5">
      <c r="D299" s="35"/>
      <c r="E299" s="35"/>
    </row>
    <row r="300" spans="4:5">
      <c r="D300" s="35"/>
      <c r="E300" s="35"/>
    </row>
    <row r="301" spans="4:5">
      <c r="D301" s="35"/>
      <c r="E301" s="35"/>
    </row>
    <row r="302" spans="4:5">
      <c r="D302" s="35"/>
      <c r="E302" s="35"/>
    </row>
    <row r="303" spans="4:5">
      <c r="D303" s="35"/>
      <c r="E303" s="35"/>
    </row>
    <row r="304" spans="4:5">
      <c r="D304" s="35"/>
      <c r="E304" s="35"/>
    </row>
    <row r="305" spans="4:5">
      <c r="D305" s="35"/>
      <c r="E305" s="35"/>
    </row>
    <row r="306" spans="4:5">
      <c r="D306" s="35"/>
      <c r="E306" s="35"/>
    </row>
    <row r="307" spans="4:5">
      <c r="D307" s="35"/>
      <c r="E307" s="35"/>
    </row>
    <row r="308" spans="4:5">
      <c r="D308" s="35"/>
      <c r="E308" s="35"/>
    </row>
    <row r="309" spans="4:5">
      <c r="D309" s="35"/>
      <c r="E309" s="35"/>
    </row>
    <row r="310" spans="4:5">
      <c r="D310" s="35"/>
      <c r="E310" s="35"/>
    </row>
    <row r="311" spans="4:5">
      <c r="D311" s="35"/>
      <c r="E311" s="35"/>
    </row>
    <row r="312" spans="4:5">
      <c r="D312" s="35"/>
      <c r="E312" s="35"/>
    </row>
    <row r="313" spans="4:5">
      <c r="D313" s="35"/>
      <c r="E313" s="35"/>
    </row>
    <row r="314" spans="4:5">
      <c r="D314" s="35"/>
      <c r="E314" s="35"/>
    </row>
    <row r="315" spans="4:5">
      <c r="D315" s="35"/>
      <c r="E315" s="35"/>
    </row>
    <row r="316" spans="4:5">
      <c r="D316" s="35"/>
      <c r="E316" s="35"/>
    </row>
    <row r="317" spans="4:5">
      <c r="D317" s="35"/>
      <c r="E317" s="35"/>
    </row>
    <row r="318" spans="4:5">
      <c r="D318" s="35"/>
      <c r="E318" s="35"/>
    </row>
    <row r="319" spans="4:5">
      <c r="D319" s="35"/>
      <c r="E319" s="35"/>
    </row>
    <row r="320" spans="4:5">
      <c r="D320" s="35"/>
      <c r="E320" s="35"/>
    </row>
    <row r="321" spans="4:5">
      <c r="D321" s="35"/>
      <c r="E321" s="35"/>
    </row>
    <row r="322" spans="4:5">
      <c r="D322" s="35"/>
      <c r="E322" s="35"/>
    </row>
    <row r="323" spans="4:5">
      <c r="D323" s="35"/>
      <c r="E323" s="35"/>
    </row>
    <row r="324" spans="4:5">
      <c r="D324" s="35"/>
      <c r="E324" s="35"/>
    </row>
    <row r="325" spans="4:5">
      <c r="D325" s="35"/>
      <c r="E325" s="35"/>
    </row>
    <row r="326" spans="4:5">
      <c r="D326" s="35"/>
      <c r="E326" s="35"/>
    </row>
    <row r="327" spans="4:5">
      <c r="D327" s="35"/>
      <c r="E327" s="35"/>
    </row>
    <row r="328" spans="4:5">
      <c r="D328" s="35"/>
      <c r="E328" s="35"/>
    </row>
    <row r="329" spans="4:5">
      <c r="D329" s="35"/>
      <c r="E329" s="35"/>
    </row>
    <row r="330" spans="4:5">
      <c r="D330" s="35"/>
      <c r="E330" s="35"/>
    </row>
    <row r="331" spans="4:5">
      <c r="D331" s="35"/>
      <c r="E331" s="35"/>
    </row>
    <row r="332" spans="4:5">
      <c r="D332" s="35"/>
      <c r="E332" s="35"/>
    </row>
    <row r="333" spans="4:5">
      <c r="D333" s="35"/>
      <c r="E333" s="35"/>
    </row>
    <row r="334" spans="4:5">
      <c r="D334" s="35"/>
      <c r="E334" s="35"/>
    </row>
    <row r="335" spans="4:5">
      <c r="D335" s="35"/>
      <c r="E335" s="35"/>
    </row>
    <row r="336" spans="4:5">
      <c r="D336" s="35"/>
      <c r="E336" s="35"/>
    </row>
    <row r="337" spans="4:5">
      <c r="D337" s="35"/>
      <c r="E337" s="35"/>
    </row>
    <row r="338" spans="4:5">
      <c r="D338" s="35"/>
      <c r="E338" s="35"/>
    </row>
    <row r="339" spans="4:5">
      <c r="D339" s="35"/>
      <c r="E339" s="35"/>
    </row>
    <row r="340" spans="4:5">
      <c r="D340" s="35"/>
      <c r="E340" s="35"/>
    </row>
    <row r="341" spans="4:5">
      <c r="D341" s="35"/>
      <c r="E341" s="35"/>
    </row>
    <row r="342" spans="4:5">
      <c r="D342" s="35"/>
      <c r="E342" s="35"/>
    </row>
    <row r="343" spans="4:5">
      <c r="D343" s="35"/>
      <c r="E343" s="35"/>
    </row>
    <row r="344" spans="4:5">
      <c r="D344" s="35"/>
      <c r="E344" s="35"/>
    </row>
    <row r="345" spans="4:5">
      <c r="D345" s="35"/>
      <c r="E345" s="35"/>
    </row>
    <row r="346" spans="4:5">
      <c r="D346" s="35"/>
      <c r="E346" s="35"/>
    </row>
    <row r="347" spans="4:5">
      <c r="D347" s="35"/>
      <c r="E347" s="35"/>
    </row>
    <row r="348" spans="4:5">
      <c r="D348" s="35"/>
      <c r="E348" s="35"/>
    </row>
    <row r="349" spans="4:5">
      <c r="D349" s="35"/>
      <c r="E349" s="35"/>
    </row>
    <row r="350" spans="4:5">
      <c r="D350" s="35"/>
      <c r="E350" s="35"/>
    </row>
    <row r="351" spans="4:5">
      <c r="D351" s="35"/>
      <c r="E351" s="35"/>
    </row>
    <row r="352" spans="4:5">
      <c r="D352" s="35"/>
      <c r="E352" s="35"/>
    </row>
    <row r="353" spans="4:5">
      <c r="D353" s="35"/>
      <c r="E353" s="35"/>
    </row>
    <row r="354" spans="4:5">
      <c r="D354" s="35"/>
      <c r="E354" s="35"/>
    </row>
    <row r="355" spans="4:5">
      <c r="D355" s="35"/>
      <c r="E355" s="35"/>
    </row>
    <row r="356" spans="4:5">
      <c r="D356" s="35"/>
      <c r="E356" s="35"/>
    </row>
    <row r="357" spans="4:5">
      <c r="D357" s="35"/>
      <c r="E357" s="35"/>
    </row>
    <row r="358" spans="4:5">
      <c r="D358" s="35"/>
      <c r="E358" s="35"/>
    </row>
    <row r="359" spans="4:5">
      <c r="D359" s="35"/>
      <c r="E359" s="35"/>
    </row>
    <row r="360" spans="4:5">
      <c r="D360" s="35"/>
      <c r="E360" s="35"/>
    </row>
    <row r="361" spans="4:5">
      <c r="D361" s="35"/>
      <c r="E361" s="35"/>
    </row>
    <row r="362" spans="4:5">
      <c r="D362" s="35"/>
      <c r="E362" s="35"/>
    </row>
    <row r="363" spans="4:5">
      <c r="D363" s="35"/>
      <c r="E363" s="35"/>
    </row>
    <row r="364" spans="4:5">
      <c r="D364" s="35"/>
      <c r="E364" s="35"/>
    </row>
    <row r="365" spans="4:5">
      <c r="D365" s="35"/>
      <c r="E365" s="35"/>
    </row>
    <row r="366" spans="4:5">
      <c r="D366" s="35"/>
      <c r="E366" s="35"/>
    </row>
    <row r="367" spans="4:5">
      <c r="D367" s="35"/>
      <c r="E367" s="35"/>
    </row>
    <row r="368" spans="4:5">
      <c r="D368" s="35"/>
      <c r="E368" s="35"/>
    </row>
    <row r="369" spans="4:5">
      <c r="D369" s="35"/>
      <c r="E369" s="35"/>
    </row>
    <row r="370" spans="4:5">
      <c r="D370" s="35"/>
      <c r="E370" s="35"/>
    </row>
    <row r="371" spans="4:5">
      <c r="D371" s="35"/>
      <c r="E371" s="35"/>
    </row>
    <row r="372" spans="4:5">
      <c r="D372" s="35"/>
      <c r="E372" s="35"/>
    </row>
    <row r="373" spans="4:5">
      <c r="D373" s="35"/>
      <c r="E373" s="35"/>
    </row>
    <row r="374" spans="4:5">
      <c r="D374" s="35"/>
      <c r="E374" s="35"/>
    </row>
    <row r="375" spans="4:5">
      <c r="D375" s="35"/>
      <c r="E375" s="35"/>
    </row>
    <row r="376" spans="4:5">
      <c r="D376" s="35"/>
      <c r="E376" s="35"/>
    </row>
    <row r="377" spans="4:5">
      <c r="D377" s="35"/>
      <c r="E377" s="35"/>
    </row>
    <row r="378" spans="4:5">
      <c r="D378" s="35"/>
      <c r="E378" s="35"/>
    </row>
    <row r="379" spans="4:5">
      <c r="D379" s="35"/>
      <c r="E379" s="35"/>
    </row>
    <row r="380" spans="4:5">
      <c r="D380" s="35"/>
      <c r="E380" s="35"/>
    </row>
    <row r="381" spans="4:5">
      <c r="D381" s="35"/>
      <c r="E381" s="35"/>
    </row>
    <row r="382" spans="4:5">
      <c r="D382" s="35"/>
      <c r="E382" s="35"/>
    </row>
    <row r="383" spans="4:5">
      <c r="D383" s="35"/>
      <c r="E383" s="35"/>
    </row>
    <row r="384" spans="4:5">
      <c r="D384" s="35"/>
      <c r="E384" s="35"/>
    </row>
    <row r="385" spans="4:5">
      <c r="D385" s="35"/>
      <c r="E385" s="35"/>
    </row>
    <row r="386" spans="4:5">
      <c r="D386" s="35"/>
      <c r="E386" s="35"/>
    </row>
    <row r="387" spans="4:5">
      <c r="D387" s="35"/>
      <c r="E387" s="35"/>
    </row>
    <row r="388" spans="4:5">
      <c r="D388" s="35"/>
      <c r="E388" s="35"/>
    </row>
    <row r="389" spans="4:5">
      <c r="D389" s="35"/>
      <c r="E389" s="35"/>
    </row>
    <row r="390" spans="4:5">
      <c r="D390" s="35"/>
      <c r="E390" s="35"/>
    </row>
    <row r="391" spans="4:5">
      <c r="D391" s="35"/>
      <c r="E391" s="35"/>
    </row>
    <row r="392" spans="4:5">
      <c r="D392" s="35"/>
      <c r="E392" s="35"/>
    </row>
    <row r="393" spans="4:5">
      <c r="D393" s="35"/>
      <c r="E393" s="35"/>
    </row>
    <row r="394" spans="4:5">
      <c r="D394" s="35"/>
      <c r="E394" s="35"/>
    </row>
    <row r="395" spans="4:5">
      <c r="D395" s="35"/>
      <c r="E395" s="35"/>
    </row>
    <row r="396" spans="4:5">
      <c r="D396" s="35"/>
      <c r="E396" s="35"/>
    </row>
    <row r="397" spans="4:5">
      <c r="D397" s="35"/>
      <c r="E397" s="35"/>
    </row>
    <row r="398" spans="4:5">
      <c r="D398" s="35"/>
      <c r="E398" s="35"/>
    </row>
    <row r="399" spans="4:5">
      <c r="D399" s="35"/>
      <c r="E399" s="35"/>
    </row>
    <row r="400" spans="4:5">
      <c r="D400" s="35"/>
      <c r="E400" s="35"/>
    </row>
    <row r="401" spans="4:5">
      <c r="D401" s="35"/>
      <c r="E401" s="35"/>
    </row>
    <row r="402" spans="4:5">
      <c r="D402" s="35"/>
      <c r="E402" s="35"/>
    </row>
    <row r="403" spans="4:5">
      <c r="D403" s="35"/>
      <c r="E403" s="35"/>
    </row>
    <row r="404" spans="4:5">
      <c r="D404" s="35"/>
      <c r="E404" s="35"/>
    </row>
    <row r="405" spans="4:5">
      <c r="D405" s="35"/>
      <c r="E405" s="35"/>
    </row>
    <row r="406" spans="4:5">
      <c r="D406" s="35"/>
      <c r="E406" s="35"/>
    </row>
    <row r="407" spans="4:5">
      <c r="D407" s="35"/>
      <c r="E407" s="35"/>
    </row>
    <row r="408" spans="4:5">
      <c r="D408" s="35"/>
      <c r="E408" s="35"/>
    </row>
    <row r="409" spans="4:5">
      <c r="D409" s="35"/>
      <c r="E409" s="35"/>
    </row>
    <row r="410" spans="4:5">
      <c r="D410" s="35"/>
      <c r="E410" s="35"/>
    </row>
    <row r="411" spans="4:5">
      <c r="D411" s="35"/>
      <c r="E411" s="35"/>
    </row>
    <row r="412" spans="4:5">
      <c r="D412" s="35"/>
      <c r="E412" s="35"/>
    </row>
    <row r="413" spans="4:5">
      <c r="D413" s="35"/>
      <c r="E413" s="35"/>
    </row>
    <row r="414" spans="4:5">
      <c r="D414" s="35"/>
      <c r="E414" s="35"/>
    </row>
    <row r="415" spans="4:5">
      <c r="D415" s="35"/>
      <c r="E415" s="35"/>
    </row>
    <row r="416" spans="4:5">
      <c r="D416" s="35"/>
      <c r="E416" s="35"/>
    </row>
    <row r="417" spans="4:5">
      <c r="D417" s="35"/>
      <c r="E417" s="35"/>
    </row>
    <row r="418" spans="4:5">
      <c r="D418" s="35"/>
      <c r="E418" s="35"/>
    </row>
    <row r="419" spans="4:5">
      <c r="D419" s="35"/>
      <c r="E419" s="35"/>
    </row>
    <row r="420" spans="4:5">
      <c r="D420" s="35"/>
      <c r="E420" s="35"/>
    </row>
    <row r="421" spans="4:5">
      <c r="D421" s="35"/>
      <c r="E421" s="35"/>
    </row>
    <row r="422" spans="4:5">
      <c r="D422" s="35"/>
      <c r="E422" s="35"/>
    </row>
    <row r="423" spans="4:5">
      <c r="D423" s="35"/>
      <c r="E423" s="35"/>
    </row>
    <row r="424" spans="4:5">
      <c r="D424" s="35"/>
      <c r="E424" s="35"/>
    </row>
    <row r="425" spans="4:5">
      <c r="D425" s="35"/>
      <c r="E425" s="35"/>
    </row>
    <row r="426" spans="4:5">
      <c r="D426" s="35"/>
      <c r="E426" s="35"/>
    </row>
    <row r="427" spans="4:5">
      <c r="D427" s="35"/>
      <c r="E427" s="35"/>
    </row>
    <row r="428" spans="4:5">
      <c r="D428" s="35"/>
      <c r="E428" s="35"/>
    </row>
    <row r="429" spans="4:5">
      <c r="D429" s="35"/>
      <c r="E429" s="35"/>
    </row>
    <row r="430" spans="4:5">
      <c r="D430" s="35"/>
      <c r="E430" s="35"/>
    </row>
    <row r="431" spans="4:5">
      <c r="D431" s="35"/>
      <c r="E431" s="35"/>
    </row>
    <row r="432" spans="4:5">
      <c r="D432" s="35"/>
      <c r="E432" s="35"/>
    </row>
    <row r="433" spans="4:5">
      <c r="D433" s="35"/>
      <c r="E433" s="35"/>
    </row>
    <row r="434" spans="4:5">
      <c r="D434" s="35"/>
      <c r="E434" s="35"/>
    </row>
    <row r="435" spans="4:5">
      <c r="D435" s="35"/>
      <c r="E435" s="35"/>
    </row>
    <row r="436" spans="4:5">
      <c r="D436" s="35"/>
      <c r="E436" s="35"/>
    </row>
    <row r="437" spans="4:5">
      <c r="D437" s="35"/>
      <c r="E437" s="35"/>
    </row>
    <row r="438" spans="4:5">
      <c r="D438" s="35"/>
      <c r="E438" s="35"/>
    </row>
    <row r="439" spans="4:5">
      <c r="D439" s="35"/>
      <c r="E439" s="35"/>
    </row>
    <row r="440" spans="4:5">
      <c r="D440" s="35"/>
      <c r="E440" s="35"/>
    </row>
    <row r="441" spans="4:5">
      <c r="D441" s="35"/>
      <c r="E441" s="35"/>
    </row>
    <row r="442" spans="4:5">
      <c r="D442" s="35"/>
      <c r="E442" s="35"/>
    </row>
    <row r="443" spans="4:5">
      <c r="D443" s="35"/>
      <c r="E443" s="35"/>
    </row>
    <row r="444" spans="4:5">
      <c r="D444" s="35"/>
      <c r="E444" s="35"/>
    </row>
    <row r="445" spans="4:5">
      <c r="D445" s="35"/>
      <c r="E445" s="35"/>
    </row>
    <row r="446" spans="4:5">
      <c r="D446" s="35"/>
      <c r="E446" s="35"/>
    </row>
    <row r="447" spans="4:5">
      <c r="D447" s="35"/>
      <c r="E447" s="35"/>
    </row>
    <row r="448" spans="4:5">
      <c r="D448" s="35"/>
      <c r="E448" s="35"/>
    </row>
    <row r="449" spans="4:5">
      <c r="D449" s="35"/>
      <c r="E449" s="35"/>
    </row>
    <row r="450" spans="4:5">
      <c r="D450" s="35"/>
      <c r="E450" s="35"/>
    </row>
    <row r="451" spans="4:5">
      <c r="D451" s="35"/>
      <c r="E451" s="35"/>
    </row>
    <row r="452" spans="4:5">
      <c r="D452" s="35"/>
      <c r="E452" s="35"/>
    </row>
    <row r="453" spans="4:5">
      <c r="D453" s="35"/>
      <c r="E453" s="35"/>
    </row>
    <row r="454" spans="4:5">
      <c r="D454" s="35"/>
      <c r="E454" s="35"/>
    </row>
    <row r="455" spans="4:5">
      <c r="D455" s="35"/>
      <c r="E455" s="35"/>
    </row>
    <row r="456" spans="4:5">
      <c r="D456" s="35"/>
      <c r="E456" s="35"/>
    </row>
    <row r="457" spans="4:5">
      <c r="D457" s="35"/>
      <c r="E457" s="35"/>
    </row>
    <row r="458" spans="4:5">
      <c r="D458" s="35"/>
      <c r="E458" s="35"/>
    </row>
    <row r="459" spans="4:5">
      <c r="D459" s="35"/>
      <c r="E459" s="35"/>
    </row>
    <row r="460" spans="4:5">
      <c r="D460" s="35"/>
      <c r="E460" s="35"/>
    </row>
    <row r="461" spans="4:5">
      <c r="D461" s="35"/>
      <c r="E461" s="35"/>
    </row>
    <row r="462" spans="4:5">
      <c r="D462" s="35"/>
      <c r="E462" s="35"/>
    </row>
    <row r="463" spans="4:5">
      <c r="D463" s="35"/>
      <c r="E463" s="35"/>
    </row>
    <row r="464" spans="4:5">
      <c r="D464" s="35"/>
      <c r="E464" s="35"/>
    </row>
    <row r="465" spans="4:5">
      <c r="D465" s="35"/>
      <c r="E465" s="35"/>
    </row>
    <row r="466" spans="4:5">
      <c r="D466" s="35"/>
      <c r="E466" s="35"/>
    </row>
    <row r="467" spans="4:5">
      <c r="D467" s="35"/>
      <c r="E467" s="35"/>
    </row>
    <row r="468" spans="4:5">
      <c r="D468" s="35"/>
      <c r="E468" s="35"/>
    </row>
    <row r="469" spans="4:5">
      <c r="D469" s="35"/>
      <c r="E469" s="35"/>
    </row>
    <row r="470" spans="4:5">
      <c r="D470" s="35"/>
      <c r="E470" s="35"/>
    </row>
    <row r="471" spans="4:5">
      <c r="D471" s="35"/>
      <c r="E471" s="35"/>
    </row>
    <row r="472" spans="4:5">
      <c r="D472" s="35"/>
      <c r="E472" s="35"/>
    </row>
    <row r="473" spans="4:5">
      <c r="D473" s="35"/>
      <c r="E473" s="35"/>
    </row>
    <row r="474" spans="4:5">
      <c r="D474" s="35"/>
      <c r="E474" s="35"/>
    </row>
    <row r="475" spans="4:5">
      <c r="D475" s="35"/>
      <c r="E475" s="35"/>
    </row>
    <row r="476" spans="4:5">
      <c r="D476" s="35"/>
      <c r="E476" s="35"/>
    </row>
    <row r="477" spans="4:5">
      <c r="D477" s="35"/>
      <c r="E477" s="35"/>
    </row>
    <row r="478" spans="4:5">
      <c r="D478" s="35"/>
      <c r="E478" s="35"/>
    </row>
    <row r="479" spans="4:5">
      <c r="D479" s="35"/>
      <c r="E479" s="35"/>
    </row>
    <row r="480" spans="4:5">
      <c r="D480" s="35"/>
      <c r="E480" s="35"/>
    </row>
    <row r="481" spans="4:5">
      <c r="D481" s="35"/>
      <c r="E481" s="35"/>
    </row>
    <row r="482" spans="4:5">
      <c r="D482" s="35"/>
      <c r="E482" s="35"/>
    </row>
    <row r="483" spans="4:5">
      <c r="D483" s="35"/>
      <c r="E483" s="35"/>
    </row>
    <row r="484" spans="4:5">
      <c r="D484" s="35"/>
      <c r="E484" s="35"/>
    </row>
    <row r="485" spans="4:5">
      <c r="D485" s="35"/>
      <c r="E485" s="35"/>
    </row>
    <row r="486" spans="4:5">
      <c r="D486" s="35"/>
      <c r="E486" s="35"/>
    </row>
    <row r="487" spans="4:5">
      <c r="D487" s="35"/>
      <c r="E487" s="35"/>
    </row>
    <row r="488" spans="4:5">
      <c r="D488" s="35"/>
      <c r="E488" s="35"/>
    </row>
    <row r="489" spans="4:5">
      <c r="D489" s="35"/>
      <c r="E489" s="35"/>
    </row>
    <row r="490" spans="4:5">
      <c r="D490" s="35"/>
      <c r="E490" s="35"/>
    </row>
    <row r="491" spans="4:5">
      <c r="D491" s="35"/>
      <c r="E491" s="35"/>
    </row>
    <row r="492" spans="4:5">
      <c r="D492" s="35"/>
      <c r="E492" s="35"/>
    </row>
    <row r="493" spans="4:5">
      <c r="D493" s="35"/>
      <c r="E493" s="35"/>
    </row>
    <row r="494" spans="4:5">
      <c r="D494" s="35"/>
      <c r="E494" s="35"/>
    </row>
    <row r="495" spans="4:5">
      <c r="D495" s="35"/>
      <c r="E495" s="35"/>
    </row>
    <row r="496" spans="4:5">
      <c r="D496" s="35"/>
      <c r="E496" s="35"/>
    </row>
    <row r="497" spans="4:5">
      <c r="D497" s="35"/>
      <c r="E497" s="35"/>
    </row>
    <row r="498" spans="4:5">
      <c r="D498" s="35"/>
      <c r="E498" s="35"/>
    </row>
    <row r="499" spans="4:5">
      <c r="D499" s="35"/>
      <c r="E499" s="35"/>
    </row>
    <row r="500" spans="4:5">
      <c r="D500" s="35"/>
      <c r="E500" s="35"/>
    </row>
    <row r="501" spans="4:5">
      <c r="D501" s="35"/>
      <c r="E501" s="35"/>
    </row>
    <row r="502" spans="4:5">
      <c r="D502" s="35"/>
      <c r="E502" s="35"/>
    </row>
    <row r="503" spans="4:5">
      <c r="D503" s="35"/>
      <c r="E503" s="35"/>
    </row>
    <row r="504" spans="4:5">
      <c r="D504" s="35"/>
      <c r="E504" s="35"/>
    </row>
    <row r="505" spans="4:5">
      <c r="D505" s="35"/>
      <c r="E505" s="35"/>
    </row>
    <row r="506" spans="4:5">
      <c r="D506" s="35"/>
      <c r="E506" s="35"/>
    </row>
    <row r="507" spans="4:5">
      <c r="D507" s="35"/>
      <c r="E507" s="35"/>
    </row>
    <row r="508" spans="4:5">
      <c r="D508" s="35"/>
      <c r="E508" s="35"/>
    </row>
    <row r="509" spans="4:5">
      <c r="D509" s="35"/>
      <c r="E509" s="35"/>
    </row>
    <row r="510" spans="4:5">
      <c r="D510" s="35"/>
      <c r="E510" s="35"/>
    </row>
    <row r="511" spans="4:5">
      <c r="D511" s="35"/>
      <c r="E511" s="35"/>
    </row>
    <row r="512" spans="4:5">
      <c r="D512" s="35"/>
      <c r="E512" s="35"/>
    </row>
    <row r="513" spans="4:5">
      <c r="D513" s="35"/>
      <c r="E513" s="35"/>
    </row>
    <row r="514" spans="4:5">
      <c r="D514" s="35"/>
      <c r="E514" s="35"/>
    </row>
    <row r="515" spans="4:5">
      <c r="D515" s="35"/>
      <c r="E515" s="35"/>
    </row>
    <row r="516" spans="4:5">
      <c r="D516" s="35"/>
      <c r="E516" s="35"/>
    </row>
    <row r="517" spans="4:5">
      <c r="D517" s="35"/>
      <c r="E517" s="35"/>
    </row>
    <row r="518" spans="4:5">
      <c r="D518" s="35"/>
      <c r="E518" s="35"/>
    </row>
    <row r="519" spans="4:5">
      <c r="D519" s="35"/>
      <c r="E519" s="35"/>
    </row>
    <row r="520" spans="4:5">
      <c r="D520" s="35"/>
      <c r="E520" s="35"/>
    </row>
    <row r="521" spans="4:5">
      <c r="D521" s="35"/>
      <c r="E521" s="35"/>
    </row>
    <row r="522" spans="4:5">
      <c r="D522" s="35"/>
      <c r="E522" s="35"/>
    </row>
    <row r="523" spans="4:5">
      <c r="D523" s="35"/>
      <c r="E523" s="35"/>
    </row>
    <row r="524" spans="4:5">
      <c r="D524" s="35"/>
      <c r="E524" s="35"/>
    </row>
    <row r="525" spans="4:5">
      <c r="D525" s="35"/>
      <c r="E525" s="35"/>
    </row>
    <row r="526" spans="4:5">
      <c r="D526" s="35"/>
      <c r="E526" s="35"/>
    </row>
    <row r="527" spans="4:5">
      <c r="D527" s="35"/>
      <c r="E527" s="35"/>
    </row>
    <row r="528" spans="4:5">
      <c r="D528" s="35"/>
      <c r="E528" s="35"/>
    </row>
    <row r="529" spans="4:5">
      <c r="D529" s="35"/>
      <c r="E529" s="35"/>
    </row>
    <row r="530" spans="4:5">
      <c r="D530" s="35"/>
      <c r="E530" s="35"/>
    </row>
    <row r="531" spans="4:5">
      <c r="D531" s="35"/>
      <c r="E531" s="35"/>
    </row>
    <row r="532" spans="4:5">
      <c r="D532" s="35"/>
      <c r="E532" s="35"/>
    </row>
    <row r="533" spans="4:5">
      <c r="D533" s="35"/>
      <c r="E533" s="35"/>
    </row>
    <row r="534" spans="4:5">
      <c r="D534" s="35"/>
      <c r="E534" s="35"/>
    </row>
    <row r="535" spans="4:5">
      <c r="D535" s="35"/>
      <c r="E535" s="35"/>
    </row>
    <row r="536" spans="4:5">
      <c r="D536" s="35"/>
      <c r="E536" s="35"/>
    </row>
    <row r="537" spans="4:5">
      <c r="D537" s="35"/>
      <c r="E537" s="35"/>
    </row>
    <row r="538" spans="4:5">
      <c r="D538" s="35"/>
      <c r="E538" s="35"/>
    </row>
    <row r="539" spans="4:5">
      <c r="D539" s="35"/>
      <c r="E539" s="35"/>
    </row>
    <row r="540" spans="4:5">
      <c r="D540" s="35"/>
      <c r="E540" s="35"/>
    </row>
    <row r="541" spans="4:5">
      <c r="D541" s="35"/>
      <c r="E541" s="35"/>
    </row>
    <row r="542" spans="4:5">
      <c r="D542" s="35"/>
      <c r="E542" s="35"/>
    </row>
    <row r="543" spans="4:5">
      <c r="D543" s="35"/>
      <c r="E543" s="35"/>
    </row>
    <row r="544" spans="4:5">
      <c r="D544" s="35"/>
      <c r="E544" s="35"/>
    </row>
    <row r="545" spans="4:5">
      <c r="D545" s="35"/>
      <c r="E545" s="35"/>
    </row>
    <row r="546" spans="4:5">
      <c r="D546" s="35"/>
      <c r="E546" s="35"/>
    </row>
    <row r="547" spans="4:5">
      <c r="D547" s="35"/>
      <c r="E547" s="35"/>
    </row>
    <row r="548" spans="4:5">
      <c r="D548" s="35"/>
      <c r="E548" s="35"/>
    </row>
    <row r="549" spans="4:5">
      <c r="D549" s="35"/>
      <c r="E549" s="35"/>
    </row>
    <row r="550" spans="4:5">
      <c r="D550" s="35"/>
      <c r="E550" s="35"/>
    </row>
    <row r="551" spans="4:5">
      <c r="D551" s="35"/>
      <c r="E551" s="35"/>
    </row>
    <row r="552" spans="4:5">
      <c r="D552" s="35"/>
      <c r="E552" s="35"/>
    </row>
    <row r="553" spans="4:5">
      <c r="D553" s="35"/>
      <c r="E553" s="35"/>
    </row>
    <row r="554" spans="4:5">
      <c r="D554" s="35"/>
      <c r="E554" s="35"/>
    </row>
    <row r="555" spans="4:5">
      <c r="D555" s="35"/>
      <c r="E555" s="35"/>
    </row>
    <row r="556" spans="4:5">
      <c r="D556" s="35"/>
      <c r="E556" s="35"/>
    </row>
    <row r="557" spans="4:5">
      <c r="D557" s="35"/>
      <c r="E557" s="35"/>
    </row>
    <row r="558" spans="4:5">
      <c r="D558" s="35"/>
      <c r="E558" s="35"/>
    </row>
    <row r="559" spans="4:5">
      <c r="D559" s="35"/>
      <c r="E559" s="35"/>
    </row>
    <row r="560" spans="4:5">
      <c r="D560" s="35"/>
      <c r="E560" s="35"/>
    </row>
    <row r="561" spans="4:5">
      <c r="D561" s="35"/>
      <c r="E561" s="35"/>
    </row>
    <row r="562" spans="4:5">
      <c r="D562" s="35"/>
      <c r="E562" s="35"/>
    </row>
    <row r="563" spans="4:5">
      <c r="D563" s="35"/>
      <c r="E563" s="35"/>
    </row>
    <row r="564" spans="4:5">
      <c r="D564" s="35"/>
      <c r="E564" s="35"/>
    </row>
    <row r="565" spans="4:5">
      <c r="D565" s="35"/>
      <c r="E565" s="35"/>
    </row>
    <row r="566" spans="4:5">
      <c r="D566" s="35"/>
      <c r="E566" s="35"/>
    </row>
    <row r="567" spans="4:5">
      <c r="D567" s="35"/>
      <c r="E567" s="35"/>
    </row>
    <row r="568" spans="4:5">
      <c r="D568" s="35"/>
      <c r="E568" s="35"/>
    </row>
    <row r="569" spans="4:5">
      <c r="D569" s="35"/>
      <c r="E569" s="35"/>
    </row>
    <row r="570" spans="4:5">
      <c r="D570" s="35"/>
      <c r="E570" s="35"/>
    </row>
    <row r="571" spans="4:5">
      <c r="D571" s="35"/>
      <c r="E571" s="35"/>
    </row>
    <row r="572" spans="4:5">
      <c r="D572" s="35"/>
      <c r="E572" s="35"/>
    </row>
    <row r="573" spans="4:5">
      <c r="D573" s="35"/>
      <c r="E573" s="35"/>
    </row>
    <row r="574" spans="4:5">
      <c r="D574" s="35"/>
      <c r="E574" s="35"/>
    </row>
    <row r="575" spans="4:5">
      <c r="D575" s="35"/>
      <c r="E575" s="35"/>
    </row>
    <row r="576" spans="4:5">
      <c r="D576" s="35"/>
      <c r="E576" s="35"/>
    </row>
    <row r="577" spans="4:5">
      <c r="D577" s="35"/>
      <c r="E577" s="35"/>
    </row>
    <row r="578" spans="4:5">
      <c r="D578" s="35"/>
      <c r="E578" s="35"/>
    </row>
    <row r="579" spans="4:5">
      <c r="D579" s="35"/>
      <c r="E579" s="35"/>
    </row>
    <row r="580" spans="4:5">
      <c r="D580" s="35"/>
      <c r="E580" s="35"/>
    </row>
    <row r="581" spans="4:5">
      <c r="D581" s="35"/>
      <c r="E581" s="35"/>
    </row>
    <row r="582" spans="4:5">
      <c r="D582" s="35"/>
      <c r="E582" s="35"/>
    </row>
    <row r="583" spans="4:5">
      <c r="D583" s="35"/>
      <c r="E583" s="35"/>
    </row>
    <row r="584" spans="4:5">
      <c r="D584" s="35"/>
      <c r="E584" s="35"/>
    </row>
    <row r="585" spans="4:5">
      <c r="D585" s="35"/>
      <c r="E585" s="35"/>
    </row>
    <row r="586" spans="4:5">
      <c r="D586" s="35"/>
      <c r="E586" s="35"/>
    </row>
    <row r="587" spans="4:5">
      <c r="D587" s="35"/>
      <c r="E587" s="35"/>
    </row>
    <row r="588" spans="4:5">
      <c r="D588" s="35"/>
      <c r="E588" s="35"/>
    </row>
    <row r="589" spans="4:5">
      <c r="D589" s="35"/>
      <c r="E589" s="35"/>
    </row>
    <row r="590" spans="4:5">
      <c r="D590" s="35"/>
      <c r="E590" s="35"/>
    </row>
    <row r="591" spans="4:5">
      <c r="D591" s="35"/>
      <c r="E591" s="35"/>
    </row>
    <row r="592" spans="4:5">
      <c r="D592" s="35"/>
      <c r="E592" s="35"/>
    </row>
    <row r="593" spans="4:5">
      <c r="D593" s="35"/>
      <c r="E593" s="35"/>
    </row>
    <row r="594" spans="4:5">
      <c r="D594" s="35"/>
      <c r="E594" s="35"/>
    </row>
    <row r="595" spans="4:5">
      <c r="D595" s="35"/>
      <c r="E595" s="35"/>
    </row>
    <row r="596" spans="4:5">
      <c r="D596" s="35"/>
      <c r="E596" s="35"/>
    </row>
    <row r="597" spans="4:5">
      <c r="D597" s="35"/>
      <c r="E597" s="35"/>
    </row>
    <row r="598" spans="4:5">
      <c r="D598" s="35"/>
      <c r="E598" s="35"/>
    </row>
    <row r="599" spans="4:5">
      <c r="D599" s="35"/>
      <c r="E599" s="35"/>
    </row>
    <row r="600" spans="4:5">
      <c r="D600" s="35"/>
      <c r="E600" s="35"/>
    </row>
    <row r="601" spans="4:5">
      <c r="D601" s="35"/>
      <c r="E601" s="35"/>
    </row>
    <row r="602" spans="4:5">
      <c r="D602" s="35"/>
      <c r="E602" s="35"/>
    </row>
    <row r="603" spans="4:5">
      <c r="D603" s="35"/>
      <c r="E603" s="35"/>
    </row>
    <row r="604" spans="4:5">
      <c r="D604" s="35"/>
      <c r="E604" s="35"/>
    </row>
    <row r="605" spans="4:5">
      <c r="D605" s="35"/>
      <c r="E605" s="35"/>
    </row>
    <row r="606" spans="4:5">
      <c r="D606" s="35"/>
      <c r="E606" s="35"/>
    </row>
    <row r="607" spans="4:5">
      <c r="D607" s="35"/>
      <c r="E607" s="35"/>
    </row>
    <row r="608" spans="4:5">
      <c r="D608" s="35"/>
      <c r="E608" s="35"/>
    </row>
    <row r="609" spans="4:5">
      <c r="D609" s="35"/>
      <c r="E609" s="35"/>
    </row>
    <row r="610" spans="4:5">
      <c r="D610" s="35"/>
      <c r="E610" s="35"/>
    </row>
    <row r="611" spans="4:5">
      <c r="D611" s="35"/>
      <c r="E611" s="35"/>
    </row>
    <row r="612" spans="4:5">
      <c r="D612" s="35"/>
      <c r="E612" s="35"/>
    </row>
    <row r="613" spans="4:5">
      <c r="D613" s="35"/>
      <c r="E613" s="35"/>
    </row>
    <row r="614" spans="4:5">
      <c r="D614" s="35"/>
      <c r="E614" s="35"/>
    </row>
    <row r="615" spans="4:5">
      <c r="D615" s="35"/>
      <c r="E615" s="35"/>
    </row>
    <row r="616" spans="4:5">
      <c r="D616" s="35"/>
      <c r="E616" s="35"/>
    </row>
    <row r="617" spans="4:5">
      <c r="D617" s="35"/>
      <c r="E617" s="35"/>
    </row>
    <row r="618" spans="4:5">
      <c r="D618" s="35"/>
      <c r="E618" s="35"/>
    </row>
    <row r="619" spans="4:5">
      <c r="D619" s="35"/>
      <c r="E619" s="35"/>
    </row>
    <row r="620" spans="4:5">
      <c r="D620" s="35"/>
      <c r="E620" s="35"/>
    </row>
    <row r="621" spans="4:5">
      <c r="D621" s="35"/>
      <c r="E621" s="35"/>
    </row>
    <row r="622" spans="4:5">
      <c r="D622" s="35"/>
      <c r="E622" s="35"/>
    </row>
    <row r="623" spans="4:5">
      <c r="D623" s="35"/>
      <c r="E623" s="35"/>
    </row>
    <row r="624" spans="4:5">
      <c r="D624" s="35"/>
      <c r="E624" s="35"/>
    </row>
    <row r="625" spans="4:5">
      <c r="D625" s="35"/>
      <c r="E625" s="35"/>
    </row>
    <row r="626" spans="4:5">
      <c r="D626" s="35"/>
      <c r="E626" s="35"/>
    </row>
    <row r="627" spans="4:5">
      <c r="D627" s="35"/>
      <c r="E627" s="35"/>
    </row>
    <row r="628" spans="4:5">
      <c r="D628" s="35"/>
      <c r="E628" s="35"/>
    </row>
    <row r="629" spans="4:5">
      <c r="D629" s="35"/>
      <c r="E629" s="35"/>
    </row>
    <row r="630" spans="4:5">
      <c r="D630" s="35"/>
      <c r="E630" s="35"/>
    </row>
    <row r="631" spans="4:5">
      <c r="D631" s="35"/>
      <c r="E631" s="35"/>
    </row>
    <row r="632" spans="4:5">
      <c r="D632" s="35"/>
      <c r="E632" s="35"/>
    </row>
    <row r="633" spans="4:5">
      <c r="D633" s="35"/>
      <c r="E633" s="35"/>
    </row>
    <row r="634" spans="4:5">
      <c r="D634" s="35"/>
      <c r="E634" s="35"/>
    </row>
    <row r="635" spans="4:5">
      <c r="D635" s="35"/>
      <c r="E635" s="35"/>
    </row>
    <row r="636" spans="4:5">
      <c r="D636" s="35"/>
      <c r="E636" s="35"/>
    </row>
    <row r="637" spans="4:5">
      <c r="D637" s="35"/>
      <c r="E637" s="35"/>
    </row>
    <row r="638" spans="4:5">
      <c r="D638" s="35"/>
      <c r="E638" s="35"/>
    </row>
    <row r="639" spans="4:5">
      <c r="D639" s="35"/>
      <c r="E639" s="35"/>
    </row>
    <row r="640" spans="4:5">
      <c r="D640" s="35"/>
      <c r="E640" s="35"/>
    </row>
    <row r="641" spans="4:5">
      <c r="D641" s="35"/>
      <c r="E641" s="35"/>
    </row>
    <row r="642" spans="4:5">
      <c r="D642" s="35"/>
      <c r="E642" s="35"/>
    </row>
    <row r="643" spans="4:5">
      <c r="D643" s="35"/>
      <c r="E643" s="35"/>
    </row>
    <row r="644" spans="4:5">
      <c r="D644" s="35"/>
      <c r="E644" s="35"/>
    </row>
    <row r="645" spans="4:5">
      <c r="D645" s="35"/>
      <c r="E645" s="35"/>
    </row>
    <row r="646" spans="4:5">
      <c r="D646" s="35"/>
      <c r="E646" s="35"/>
    </row>
    <row r="647" spans="4:5">
      <c r="D647" s="35"/>
      <c r="E647" s="35"/>
    </row>
    <row r="648" spans="4:5">
      <c r="D648" s="35"/>
      <c r="E648" s="35"/>
    </row>
    <row r="649" spans="4:5">
      <c r="D649" s="35"/>
      <c r="E649" s="35"/>
    </row>
    <row r="650" spans="4:5">
      <c r="D650" s="35"/>
      <c r="E650" s="35"/>
    </row>
    <row r="651" spans="4:5">
      <c r="D651" s="35"/>
      <c r="E651" s="35"/>
    </row>
    <row r="652" spans="4:5">
      <c r="D652" s="35"/>
      <c r="E652" s="35"/>
    </row>
    <row r="653" spans="4:5">
      <c r="D653" s="35"/>
      <c r="E653" s="35"/>
    </row>
    <row r="654" spans="4:5">
      <c r="D654" s="35"/>
      <c r="E654" s="35"/>
    </row>
    <row r="655" spans="4:5">
      <c r="D655" s="35"/>
      <c r="E655" s="35"/>
    </row>
    <row r="656" spans="4:5">
      <c r="D656" s="35"/>
      <c r="E656" s="35"/>
    </row>
    <row r="657" spans="4:5">
      <c r="D657" s="35"/>
      <c r="E657" s="35"/>
    </row>
    <row r="658" spans="4:5">
      <c r="D658" s="35"/>
      <c r="E658" s="35"/>
    </row>
    <row r="659" spans="4:5">
      <c r="D659" s="35"/>
      <c r="E659" s="35"/>
    </row>
    <row r="660" spans="4:5">
      <c r="D660" s="35"/>
      <c r="E660" s="35"/>
    </row>
    <row r="661" spans="4:5">
      <c r="D661" s="35"/>
      <c r="E661" s="35"/>
    </row>
    <row r="662" spans="4:5">
      <c r="D662" s="35"/>
      <c r="E662" s="35"/>
    </row>
    <row r="663" spans="4:5">
      <c r="D663" s="35"/>
      <c r="E663" s="35"/>
    </row>
    <row r="664" spans="4:5">
      <c r="D664" s="35"/>
      <c r="E664" s="35"/>
    </row>
    <row r="665" spans="4:5">
      <c r="D665" s="35"/>
      <c r="E665" s="35"/>
    </row>
    <row r="666" spans="4:5">
      <c r="D666" s="35"/>
      <c r="E666" s="35"/>
    </row>
    <row r="667" spans="4:5">
      <c r="D667" s="35"/>
      <c r="E667" s="35"/>
    </row>
    <row r="668" spans="4:5">
      <c r="D668" s="35"/>
      <c r="E668" s="35"/>
    </row>
    <row r="669" spans="4:5">
      <c r="D669" s="35"/>
      <c r="E669" s="35"/>
    </row>
    <row r="670" spans="4:5">
      <c r="D670" s="35"/>
      <c r="E670" s="35"/>
    </row>
    <row r="671" spans="4:5">
      <c r="D671" s="35"/>
      <c r="E671" s="35"/>
    </row>
    <row r="672" spans="4:5">
      <c r="D672" s="35"/>
      <c r="E672" s="35"/>
    </row>
    <row r="673" spans="4:5">
      <c r="D673" s="35"/>
      <c r="E673" s="35"/>
    </row>
    <row r="674" spans="4:5">
      <c r="D674" s="35"/>
      <c r="E674" s="35"/>
    </row>
    <row r="675" spans="4:5">
      <c r="D675" s="35"/>
      <c r="E675" s="35"/>
    </row>
    <row r="676" spans="4:5">
      <c r="D676" s="35"/>
      <c r="E676" s="35"/>
    </row>
    <row r="677" spans="4:5">
      <c r="D677" s="35"/>
      <c r="E677" s="35"/>
    </row>
    <row r="678" spans="4:5">
      <c r="D678" s="35"/>
      <c r="E678" s="35"/>
    </row>
    <row r="679" spans="4:5">
      <c r="D679" s="35"/>
      <c r="E679" s="35"/>
    </row>
    <row r="680" spans="4:5">
      <c r="D680" s="35"/>
      <c r="E680" s="35"/>
    </row>
    <row r="681" spans="4:5">
      <c r="D681" s="35"/>
      <c r="E681" s="35"/>
    </row>
    <row r="682" spans="4:5">
      <c r="D682" s="35"/>
      <c r="E682" s="35"/>
    </row>
    <row r="683" spans="4:5">
      <c r="D683" s="35"/>
      <c r="E683" s="35"/>
    </row>
    <row r="684" spans="4:5">
      <c r="D684" s="35"/>
      <c r="E684" s="35"/>
    </row>
    <row r="685" spans="4:5">
      <c r="D685" s="35"/>
      <c r="E685" s="35"/>
    </row>
    <row r="686" spans="4:5">
      <c r="D686" s="35"/>
      <c r="E686" s="35"/>
    </row>
    <row r="687" spans="4:5">
      <c r="D687" s="35"/>
      <c r="E687" s="35"/>
    </row>
    <row r="688" spans="4:5">
      <c r="D688" s="35"/>
      <c r="E688" s="35"/>
    </row>
    <row r="689" spans="4:5">
      <c r="D689" s="35"/>
      <c r="E689" s="35"/>
    </row>
    <row r="690" spans="4:5">
      <c r="D690" s="35"/>
      <c r="E690" s="35"/>
    </row>
    <row r="691" spans="4:5">
      <c r="D691" s="35"/>
      <c r="E691" s="35"/>
    </row>
    <row r="692" spans="4:5">
      <c r="D692" s="35"/>
      <c r="E692" s="35"/>
    </row>
    <row r="693" spans="4:5">
      <c r="D693" s="35"/>
      <c r="E693" s="35"/>
    </row>
    <row r="694" spans="4:5">
      <c r="D694" s="35"/>
      <c r="E694" s="35"/>
    </row>
    <row r="695" spans="4:5">
      <c r="D695" s="35"/>
      <c r="E695" s="35"/>
    </row>
    <row r="696" spans="4:5">
      <c r="D696" s="35"/>
      <c r="E696" s="35"/>
    </row>
    <row r="697" spans="4:5">
      <c r="D697" s="35"/>
      <c r="E697" s="35"/>
    </row>
    <row r="698" spans="4:5">
      <c r="D698" s="35"/>
      <c r="E698" s="35"/>
    </row>
    <row r="699" spans="4:5">
      <c r="D699" s="35"/>
      <c r="E699" s="35"/>
    </row>
    <row r="700" spans="4:5">
      <c r="D700" s="35"/>
      <c r="E700" s="35"/>
    </row>
    <row r="701" spans="4:5">
      <c r="D701" s="35"/>
      <c r="E701" s="35"/>
    </row>
    <row r="702" spans="4:5">
      <c r="D702" s="35"/>
      <c r="E702" s="35"/>
    </row>
    <row r="703" spans="4:5">
      <c r="D703" s="35"/>
      <c r="E703" s="35"/>
    </row>
    <row r="704" spans="4:5">
      <c r="D704" s="35"/>
      <c r="E704" s="35"/>
    </row>
    <row r="705" spans="4:5">
      <c r="D705" s="35"/>
      <c r="E705" s="35"/>
    </row>
    <row r="706" spans="4:5">
      <c r="D706" s="35"/>
      <c r="E706" s="35"/>
    </row>
    <row r="707" spans="4:5">
      <c r="D707" s="35"/>
      <c r="E707" s="35"/>
    </row>
    <row r="708" spans="4:5">
      <c r="D708" s="35"/>
      <c r="E708" s="35"/>
    </row>
    <row r="709" spans="4:5">
      <c r="D709" s="35"/>
      <c r="E709" s="35"/>
    </row>
    <row r="710" spans="4:5">
      <c r="D710" s="35"/>
      <c r="E710" s="35"/>
    </row>
    <row r="711" spans="4:5">
      <c r="D711" s="35"/>
      <c r="E711" s="35"/>
    </row>
    <row r="712" spans="4:5">
      <c r="D712" s="35"/>
      <c r="E712" s="35"/>
    </row>
    <row r="713" spans="4:5">
      <c r="D713" s="35"/>
      <c r="E713" s="35"/>
    </row>
    <row r="714" spans="4:5">
      <c r="D714" s="35"/>
      <c r="E714" s="35"/>
    </row>
    <row r="715" spans="4:5">
      <c r="D715" s="35"/>
      <c r="E715" s="35"/>
    </row>
    <row r="716" spans="4:5">
      <c r="D716" s="35"/>
      <c r="E716" s="35"/>
    </row>
    <row r="717" spans="4:5">
      <c r="D717" s="35"/>
      <c r="E717" s="35"/>
    </row>
    <row r="718" spans="4:5">
      <c r="D718" s="35"/>
      <c r="E718" s="35"/>
    </row>
    <row r="719" spans="4:5">
      <c r="D719" s="35"/>
      <c r="E719" s="35"/>
    </row>
    <row r="720" spans="4:5">
      <c r="D720" s="35"/>
      <c r="E720" s="35"/>
    </row>
    <row r="721" spans="4:5">
      <c r="D721" s="35"/>
      <c r="E721" s="35"/>
    </row>
    <row r="722" spans="4:5">
      <c r="D722" s="35"/>
      <c r="E722" s="35"/>
    </row>
    <row r="723" spans="4:5">
      <c r="D723" s="35"/>
      <c r="E723" s="35"/>
    </row>
    <row r="724" spans="4:5">
      <c r="D724" s="35"/>
      <c r="E724" s="35"/>
    </row>
    <row r="725" spans="4:5">
      <c r="D725" s="35"/>
      <c r="E725" s="35"/>
    </row>
    <row r="726" spans="4:5">
      <c r="D726" s="35"/>
      <c r="E726" s="35"/>
    </row>
    <row r="727" spans="4:5">
      <c r="D727" s="35"/>
      <c r="E727" s="35"/>
    </row>
    <row r="728" spans="4:5">
      <c r="D728" s="35"/>
      <c r="E728" s="35"/>
    </row>
    <row r="729" spans="4:5">
      <c r="D729" s="35"/>
      <c r="E729" s="35"/>
    </row>
    <row r="730" spans="4:5">
      <c r="D730" s="35"/>
      <c r="E730" s="35"/>
    </row>
    <row r="731" spans="4:5">
      <c r="D731" s="35"/>
      <c r="E731" s="35"/>
    </row>
    <row r="732" spans="4:5">
      <c r="D732" s="35"/>
      <c r="E732" s="35"/>
    </row>
    <row r="733" spans="4:5">
      <c r="D733" s="35"/>
      <c r="E733" s="35"/>
    </row>
    <row r="734" spans="4:5">
      <c r="D734" s="35"/>
      <c r="E734" s="35"/>
    </row>
    <row r="735" spans="4:5">
      <c r="D735" s="35"/>
      <c r="E735" s="35"/>
    </row>
    <row r="736" spans="4:5">
      <c r="D736" s="35"/>
      <c r="E736" s="35"/>
    </row>
    <row r="737" spans="4:5">
      <c r="D737" s="35"/>
      <c r="E737" s="35"/>
    </row>
    <row r="738" spans="4:5">
      <c r="D738" s="35"/>
      <c r="E738" s="35"/>
    </row>
    <row r="739" spans="4:5">
      <c r="D739" s="35"/>
      <c r="E739" s="35"/>
    </row>
    <row r="740" spans="4:5">
      <c r="D740" s="35"/>
      <c r="E740" s="35"/>
    </row>
    <row r="741" spans="4:5">
      <c r="D741" s="35"/>
      <c r="E741" s="35"/>
    </row>
    <row r="742" spans="4:5">
      <c r="D742" s="35"/>
      <c r="E742" s="35"/>
    </row>
    <row r="743" spans="4:5">
      <c r="D743" s="35"/>
      <c r="E743" s="35"/>
    </row>
    <row r="744" spans="4:5">
      <c r="D744" s="35"/>
      <c r="E744" s="35"/>
    </row>
    <row r="745" spans="4:5">
      <c r="D745" s="35"/>
      <c r="E745" s="35"/>
    </row>
    <row r="746" spans="4:5">
      <c r="D746" s="35"/>
      <c r="E746" s="35"/>
    </row>
    <row r="747" spans="4:5">
      <c r="D747" s="35"/>
      <c r="E747" s="35"/>
    </row>
    <row r="748" spans="4:5">
      <c r="D748" s="35"/>
      <c r="E748" s="35"/>
    </row>
    <row r="749" spans="4:5">
      <c r="D749" s="35"/>
      <c r="E749" s="35"/>
    </row>
    <row r="750" spans="4:5">
      <c r="D750" s="35"/>
      <c r="E750" s="35"/>
    </row>
    <row r="751" spans="4:5">
      <c r="D751" s="35"/>
      <c r="E751" s="35"/>
    </row>
    <row r="752" spans="4:5">
      <c r="D752" s="35"/>
      <c r="E752" s="35"/>
    </row>
    <row r="753" spans="4:5">
      <c r="D753" s="35"/>
      <c r="E753" s="35"/>
    </row>
    <row r="754" spans="4:5">
      <c r="D754" s="35"/>
      <c r="E754" s="35"/>
    </row>
    <row r="755" spans="4:5">
      <c r="D755" s="35"/>
      <c r="E755" s="35"/>
    </row>
    <row r="756" spans="4:5">
      <c r="D756" s="35"/>
      <c r="E756" s="35"/>
    </row>
    <row r="757" spans="4:5">
      <c r="D757" s="35"/>
      <c r="E757" s="35"/>
    </row>
    <row r="758" spans="4:5">
      <c r="D758" s="35"/>
      <c r="E758" s="35"/>
    </row>
    <row r="759" spans="4:5">
      <c r="D759" s="35"/>
      <c r="E759" s="35"/>
    </row>
    <row r="760" spans="4:5">
      <c r="D760" s="35"/>
      <c r="E760" s="35"/>
    </row>
    <row r="761" spans="4:5">
      <c r="D761" s="35"/>
      <c r="E761" s="35"/>
    </row>
    <row r="762" spans="4:5">
      <c r="D762" s="35"/>
      <c r="E762" s="35"/>
    </row>
    <row r="763" spans="4:5">
      <c r="D763" s="35"/>
      <c r="E763" s="35"/>
    </row>
    <row r="764" spans="4:5">
      <c r="D764" s="35"/>
      <c r="E764" s="35"/>
    </row>
    <row r="765" spans="4:5">
      <c r="D765" s="35"/>
      <c r="E765" s="35"/>
    </row>
    <row r="766" spans="4:5">
      <c r="D766" s="35"/>
      <c r="E766" s="35"/>
    </row>
    <row r="767" spans="4:5">
      <c r="D767" s="35"/>
      <c r="E767" s="35"/>
    </row>
    <row r="768" spans="4:5">
      <c r="D768" s="35"/>
      <c r="E768" s="35"/>
    </row>
    <row r="769" spans="4:5">
      <c r="D769" s="35"/>
      <c r="E769" s="35"/>
    </row>
    <row r="770" spans="4:5">
      <c r="D770" s="35"/>
      <c r="E770" s="35"/>
    </row>
    <row r="771" spans="4:5">
      <c r="D771" s="35"/>
      <c r="E771" s="35"/>
    </row>
    <row r="772" spans="4:5">
      <c r="D772" s="35"/>
      <c r="E772" s="35"/>
    </row>
    <row r="773" spans="4:5">
      <c r="D773" s="35"/>
      <c r="E773" s="35"/>
    </row>
    <row r="774" spans="4:5">
      <c r="D774" s="35"/>
      <c r="E774" s="35"/>
    </row>
    <row r="775" spans="4:5">
      <c r="D775" s="35"/>
      <c r="E775" s="35"/>
    </row>
    <row r="776" spans="4:5">
      <c r="D776" s="35"/>
      <c r="E776" s="35"/>
    </row>
    <row r="777" spans="4:5">
      <c r="D777" s="35"/>
      <c r="E777" s="35"/>
    </row>
    <row r="778" spans="4:5">
      <c r="D778" s="35"/>
      <c r="E778" s="35"/>
    </row>
    <row r="779" spans="4:5">
      <c r="D779" s="35"/>
      <c r="E779" s="35"/>
    </row>
    <row r="780" spans="4:5">
      <c r="D780" s="35"/>
      <c r="E780" s="35"/>
    </row>
    <row r="781" spans="4:5">
      <c r="D781" s="35"/>
      <c r="E781" s="35"/>
    </row>
    <row r="782" spans="4:5">
      <c r="D782" s="35"/>
      <c r="E782" s="35"/>
    </row>
    <row r="783" spans="4:5">
      <c r="D783" s="35"/>
      <c r="E783" s="35"/>
    </row>
    <row r="784" spans="4:5">
      <c r="D784" s="35"/>
      <c r="E784" s="35"/>
    </row>
    <row r="785" spans="4:5">
      <c r="D785" s="35"/>
      <c r="E785" s="35"/>
    </row>
    <row r="786" spans="4:5">
      <c r="D786" s="35"/>
      <c r="E786" s="35"/>
    </row>
    <row r="787" spans="4:5">
      <c r="D787" s="35"/>
      <c r="E787" s="35"/>
    </row>
    <row r="788" spans="4:5">
      <c r="D788" s="35"/>
      <c r="E788" s="35"/>
    </row>
    <row r="789" spans="4:5">
      <c r="D789" s="35"/>
      <c r="E789" s="35"/>
    </row>
    <row r="790" spans="4:5">
      <c r="D790" s="35"/>
      <c r="E790" s="35"/>
    </row>
    <row r="791" spans="4:5">
      <c r="D791" s="35"/>
      <c r="E791" s="35"/>
    </row>
    <row r="792" spans="4:5">
      <c r="D792" s="35"/>
      <c r="E792" s="35"/>
    </row>
    <row r="793" spans="4:5">
      <c r="D793" s="35"/>
      <c r="E793" s="35"/>
    </row>
    <row r="794" spans="4:5">
      <c r="D794" s="35"/>
      <c r="E794" s="35"/>
    </row>
    <row r="795" spans="4:5">
      <c r="D795" s="35"/>
      <c r="E795" s="35"/>
    </row>
    <row r="796" spans="4:5">
      <c r="D796" s="35"/>
      <c r="E796" s="35"/>
    </row>
    <row r="797" spans="4:5">
      <c r="D797" s="35"/>
      <c r="E797" s="35"/>
    </row>
    <row r="798" spans="4:5">
      <c r="D798" s="35"/>
      <c r="E798" s="35"/>
    </row>
    <row r="799" spans="4:5">
      <c r="D799" s="35"/>
      <c r="E799" s="35"/>
    </row>
    <row r="800" spans="4:5">
      <c r="D800" s="35"/>
      <c r="E800" s="35"/>
    </row>
    <row r="801" spans="4:5">
      <c r="D801" s="35"/>
      <c r="E801" s="35"/>
    </row>
    <row r="802" spans="4:5">
      <c r="D802" s="35"/>
      <c r="E802" s="35"/>
    </row>
    <row r="803" spans="4:5">
      <c r="D803" s="35"/>
      <c r="E803" s="35"/>
    </row>
    <row r="804" spans="4:5">
      <c r="D804" s="35"/>
      <c r="E804" s="35"/>
    </row>
    <row r="805" spans="4:5">
      <c r="D805" s="35"/>
      <c r="E805" s="35"/>
    </row>
    <row r="806" spans="4:5">
      <c r="D806" s="35"/>
      <c r="E806" s="35"/>
    </row>
    <row r="807" spans="4:5">
      <c r="D807" s="35"/>
      <c r="E807" s="35"/>
    </row>
    <row r="808" spans="4:5">
      <c r="D808" s="35"/>
      <c r="E808" s="35"/>
    </row>
    <row r="809" spans="4:5">
      <c r="D809" s="35"/>
      <c r="E809" s="35"/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zoomScale="150" zoomScaleNormal="150" workbookViewId="0">
      <selection activeCell="K15" sqref="K15"/>
    </sheetView>
  </sheetViews>
  <sheetFormatPr baseColWidth="10" defaultColWidth="8.83203125" defaultRowHeight="15" customHeight="1"/>
  <cols>
    <col min="1" max="3" width="9" style="6"/>
    <col min="4" max="4" width="9.1640625" style="6" bestFit="1" customWidth="1"/>
    <col min="5" max="6" width="10.33203125" style="6" bestFit="1" customWidth="1"/>
    <col min="7" max="202" width="9" style="6"/>
    <col min="203" max="203" width="3" style="6" customWidth="1"/>
    <col min="204" max="204" width="12.1640625" style="6" bestFit="1" customWidth="1"/>
    <col min="205" max="205" width="9.6640625" style="6" bestFit="1" customWidth="1"/>
    <col min="206" max="207" width="7.5" style="6" bestFit="1" customWidth="1"/>
    <col min="208" max="208" width="4.6640625" style="6" bestFit="1" customWidth="1"/>
    <col min="209" max="212" width="9" style="6"/>
    <col min="213" max="213" width="11.1640625" style="6" customWidth="1"/>
    <col min="214" max="214" width="11.1640625" style="6" bestFit="1" customWidth="1"/>
    <col min="215" max="216" width="8" style="6" bestFit="1" customWidth="1"/>
    <col min="217" max="217" width="4.6640625" style="6" bestFit="1" customWidth="1"/>
    <col min="218" max="219" width="11.1640625" style="6" bestFit="1" customWidth="1"/>
    <col min="220" max="458" width="9" style="6"/>
    <col min="459" max="459" width="3" style="6" customWidth="1"/>
    <col min="460" max="460" width="12.1640625" style="6" bestFit="1" customWidth="1"/>
    <col min="461" max="461" width="9.6640625" style="6" bestFit="1" customWidth="1"/>
    <col min="462" max="463" width="7.5" style="6" bestFit="1" customWidth="1"/>
    <col min="464" max="464" width="4.6640625" style="6" bestFit="1" customWidth="1"/>
    <col min="465" max="468" width="9" style="6"/>
    <col min="469" max="469" width="11.1640625" style="6" customWidth="1"/>
    <col min="470" max="470" width="11.1640625" style="6" bestFit="1" customWidth="1"/>
    <col min="471" max="472" width="8" style="6" bestFit="1" customWidth="1"/>
    <col min="473" max="473" width="4.6640625" style="6" bestFit="1" customWidth="1"/>
    <col min="474" max="475" width="11.1640625" style="6" bestFit="1" customWidth="1"/>
    <col min="476" max="714" width="9" style="6"/>
    <col min="715" max="715" width="3" style="6" customWidth="1"/>
    <col min="716" max="716" width="12.1640625" style="6" bestFit="1" customWidth="1"/>
    <col min="717" max="717" width="9.6640625" style="6" bestFit="1" customWidth="1"/>
    <col min="718" max="719" width="7.5" style="6" bestFit="1" customWidth="1"/>
    <col min="720" max="720" width="4.6640625" style="6" bestFit="1" customWidth="1"/>
    <col min="721" max="724" width="9" style="6"/>
    <col min="725" max="725" width="11.1640625" style="6" customWidth="1"/>
    <col min="726" max="726" width="11.1640625" style="6" bestFit="1" customWidth="1"/>
    <col min="727" max="728" width="8" style="6" bestFit="1" customWidth="1"/>
    <col min="729" max="729" width="4.6640625" style="6" bestFit="1" customWidth="1"/>
    <col min="730" max="731" width="11.1640625" style="6" bestFit="1" customWidth="1"/>
    <col min="732" max="970" width="9" style="6"/>
    <col min="971" max="971" width="3" style="6" customWidth="1"/>
    <col min="972" max="972" width="12.1640625" style="6" bestFit="1" customWidth="1"/>
    <col min="973" max="973" width="9.6640625" style="6" bestFit="1" customWidth="1"/>
    <col min="974" max="975" width="7.5" style="6" bestFit="1" customWidth="1"/>
    <col min="976" max="976" width="4.6640625" style="6" bestFit="1" customWidth="1"/>
    <col min="977" max="980" width="9" style="6"/>
    <col min="981" max="981" width="11.1640625" style="6" customWidth="1"/>
    <col min="982" max="982" width="11.1640625" style="6" bestFit="1" customWidth="1"/>
    <col min="983" max="984" width="8" style="6" bestFit="1" customWidth="1"/>
    <col min="985" max="985" width="4.6640625" style="6" bestFit="1" customWidth="1"/>
    <col min="986" max="987" width="11.1640625" style="6" bestFit="1" customWidth="1"/>
    <col min="988" max="1226" width="9" style="6"/>
    <col min="1227" max="1227" width="3" style="6" customWidth="1"/>
    <col min="1228" max="1228" width="12.1640625" style="6" bestFit="1" customWidth="1"/>
    <col min="1229" max="1229" width="9.6640625" style="6" bestFit="1" customWidth="1"/>
    <col min="1230" max="1231" width="7.5" style="6" bestFit="1" customWidth="1"/>
    <col min="1232" max="1232" width="4.6640625" style="6" bestFit="1" customWidth="1"/>
    <col min="1233" max="1236" width="9" style="6"/>
    <col min="1237" max="1237" width="11.1640625" style="6" customWidth="1"/>
    <col min="1238" max="1238" width="11.1640625" style="6" bestFit="1" customWidth="1"/>
    <col min="1239" max="1240" width="8" style="6" bestFit="1" customWidth="1"/>
    <col min="1241" max="1241" width="4.6640625" style="6" bestFit="1" customWidth="1"/>
    <col min="1242" max="1243" width="11.1640625" style="6" bestFit="1" customWidth="1"/>
    <col min="1244" max="1482" width="9" style="6"/>
    <col min="1483" max="1483" width="3" style="6" customWidth="1"/>
    <col min="1484" max="1484" width="12.1640625" style="6" bestFit="1" customWidth="1"/>
    <col min="1485" max="1485" width="9.6640625" style="6" bestFit="1" customWidth="1"/>
    <col min="1486" max="1487" width="7.5" style="6" bestFit="1" customWidth="1"/>
    <col min="1488" max="1488" width="4.6640625" style="6" bestFit="1" customWidth="1"/>
    <col min="1489" max="1492" width="9" style="6"/>
    <col min="1493" max="1493" width="11.1640625" style="6" customWidth="1"/>
    <col min="1494" max="1494" width="11.1640625" style="6" bestFit="1" customWidth="1"/>
    <col min="1495" max="1496" width="8" style="6" bestFit="1" customWidth="1"/>
    <col min="1497" max="1497" width="4.6640625" style="6" bestFit="1" customWidth="1"/>
    <col min="1498" max="1499" width="11.1640625" style="6" bestFit="1" customWidth="1"/>
    <col min="1500" max="1738" width="9" style="6"/>
    <col min="1739" max="1739" width="3" style="6" customWidth="1"/>
    <col min="1740" max="1740" width="12.1640625" style="6" bestFit="1" customWidth="1"/>
    <col min="1741" max="1741" width="9.6640625" style="6" bestFit="1" customWidth="1"/>
    <col min="1742" max="1743" width="7.5" style="6" bestFit="1" customWidth="1"/>
    <col min="1744" max="1744" width="4.6640625" style="6" bestFit="1" customWidth="1"/>
    <col min="1745" max="1748" width="9" style="6"/>
    <col min="1749" max="1749" width="11.1640625" style="6" customWidth="1"/>
    <col min="1750" max="1750" width="11.1640625" style="6" bestFit="1" customWidth="1"/>
    <col min="1751" max="1752" width="8" style="6" bestFit="1" customWidth="1"/>
    <col min="1753" max="1753" width="4.6640625" style="6" bestFit="1" customWidth="1"/>
    <col min="1754" max="1755" width="11.1640625" style="6" bestFit="1" customWidth="1"/>
    <col min="1756" max="1994" width="9" style="6"/>
    <col min="1995" max="1995" width="3" style="6" customWidth="1"/>
    <col min="1996" max="1996" width="12.1640625" style="6" bestFit="1" customWidth="1"/>
    <col min="1997" max="1997" width="9.6640625" style="6" bestFit="1" customWidth="1"/>
    <col min="1998" max="1999" width="7.5" style="6" bestFit="1" customWidth="1"/>
    <col min="2000" max="2000" width="4.6640625" style="6" bestFit="1" customWidth="1"/>
    <col min="2001" max="2004" width="9" style="6"/>
    <col min="2005" max="2005" width="11.1640625" style="6" customWidth="1"/>
    <col min="2006" max="2006" width="11.1640625" style="6" bestFit="1" customWidth="1"/>
    <col min="2007" max="2008" width="8" style="6" bestFit="1" customWidth="1"/>
    <col min="2009" max="2009" width="4.6640625" style="6" bestFit="1" customWidth="1"/>
    <col min="2010" max="2011" width="11.1640625" style="6" bestFit="1" customWidth="1"/>
    <col min="2012" max="2250" width="9" style="6"/>
    <col min="2251" max="2251" width="3" style="6" customWidth="1"/>
    <col min="2252" max="2252" width="12.1640625" style="6" bestFit="1" customWidth="1"/>
    <col min="2253" max="2253" width="9.6640625" style="6" bestFit="1" customWidth="1"/>
    <col min="2254" max="2255" width="7.5" style="6" bestFit="1" customWidth="1"/>
    <col min="2256" max="2256" width="4.6640625" style="6" bestFit="1" customWidth="1"/>
    <col min="2257" max="2260" width="9" style="6"/>
    <col min="2261" max="2261" width="11.1640625" style="6" customWidth="1"/>
    <col min="2262" max="2262" width="11.1640625" style="6" bestFit="1" customWidth="1"/>
    <col min="2263" max="2264" width="8" style="6" bestFit="1" customWidth="1"/>
    <col min="2265" max="2265" width="4.6640625" style="6" bestFit="1" customWidth="1"/>
    <col min="2266" max="2267" width="11.1640625" style="6" bestFit="1" customWidth="1"/>
    <col min="2268" max="2506" width="9" style="6"/>
    <col min="2507" max="2507" width="3" style="6" customWidth="1"/>
    <col min="2508" max="2508" width="12.1640625" style="6" bestFit="1" customWidth="1"/>
    <col min="2509" max="2509" width="9.6640625" style="6" bestFit="1" customWidth="1"/>
    <col min="2510" max="2511" width="7.5" style="6" bestFit="1" customWidth="1"/>
    <col min="2512" max="2512" width="4.6640625" style="6" bestFit="1" customWidth="1"/>
    <col min="2513" max="2516" width="9" style="6"/>
    <col min="2517" max="2517" width="11.1640625" style="6" customWidth="1"/>
    <col min="2518" max="2518" width="11.1640625" style="6" bestFit="1" customWidth="1"/>
    <col min="2519" max="2520" width="8" style="6" bestFit="1" customWidth="1"/>
    <col min="2521" max="2521" width="4.6640625" style="6" bestFit="1" customWidth="1"/>
    <col min="2522" max="2523" width="11.1640625" style="6" bestFit="1" customWidth="1"/>
    <col min="2524" max="2762" width="9" style="6"/>
    <col min="2763" max="2763" width="3" style="6" customWidth="1"/>
    <col min="2764" max="2764" width="12.1640625" style="6" bestFit="1" customWidth="1"/>
    <col min="2765" max="2765" width="9.6640625" style="6" bestFit="1" customWidth="1"/>
    <col min="2766" max="2767" width="7.5" style="6" bestFit="1" customWidth="1"/>
    <col min="2768" max="2768" width="4.6640625" style="6" bestFit="1" customWidth="1"/>
    <col min="2769" max="2772" width="9" style="6"/>
    <col min="2773" max="2773" width="11.1640625" style="6" customWidth="1"/>
    <col min="2774" max="2774" width="11.1640625" style="6" bestFit="1" customWidth="1"/>
    <col min="2775" max="2776" width="8" style="6" bestFit="1" customWidth="1"/>
    <col min="2777" max="2777" width="4.6640625" style="6" bestFit="1" customWidth="1"/>
    <col min="2778" max="2779" width="11.1640625" style="6" bestFit="1" customWidth="1"/>
    <col min="2780" max="3018" width="9" style="6"/>
    <col min="3019" max="3019" width="3" style="6" customWidth="1"/>
    <col min="3020" max="3020" width="12.1640625" style="6" bestFit="1" customWidth="1"/>
    <col min="3021" max="3021" width="9.6640625" style="6" bestFit="1" customWidth="1"/>
    <col min="3022" max="3023" width="7.5" style="6" bestFit="1" customWidth="1"/>
    <col min="3024" max="3024" width="4.6640625" style="6" bestFit="1" customWidth="1"/>
    <col min="3025" max="3028" width="9" style="6"/>
    <col min="3029" max="3029" width="11.1640625" style="6" customWidth="1"/>
    <col min="3030" max="3030" width="11.1640625" style="6" bestFit="1" customWidth="1"/>
    <col min="3031" max="3032" width="8" style="6" bestFit="1" customWidth="1"/>
    <col min="3033" max="3033" width="4.6640625" style="6" bestFit="1" customWidth="1"/>
    <col min="3034" max="3035" width="11.1640625" style="6" bestFit="1" customWidth="1"/>
    <col min="3036" max="3274" width="9" style="6"/>
    <col min="3275" max="3275" width="3" style="6" customWidth="1"/>
    <col min="3276" max="3276" width="12.1640625" style="6" bestFit="1" customWidth="1"/>
    <col min="3277" max="3277" width="9.6640625" style="6" bestFit="1" customWidth="1"/>
    <col min="3278" max="3279" width="7.5" style="6" bestFit="1" customWidth="1"/>
    <col min="3280" max="3280" width="4.6640625" style="6" bestFit="1" customWidth="1"/>
    <col min="3281" max="3284" width="9" style="6"/>
    <col min="3285" max="3285" width="11.1640625" style="6" customWidth="1"/>
    <col min="3286" max="3286" width="11.1640625" style="6" bestFit="1" customWidth="1"/>
    <col min="3287" max="3288" width="8" style="6" bestFit="1" customWidth="1"/>
    <col min="3289" max="3289" width="4.6640625" style="6" bestFit="1" customWidth="1"/>
    <col min="3290" max="3291" width="11.1640625" style="6" bestFit="1" customWidth="1"/>
    <col min="3292" max="3530" width="9" style="6"/>
    <col min="3531" max="3531" width="3" style="6" customWidth="1"/>
    <col min="3532" max="3532" width="12.1640625" style="6" bestFit="1" customWidth="1"/>
    <col min="3533" max="3533" width="9.6640625" style="6" bestFit="1" customWidth="1"/>
    <col min="3534" max="3535" width="7.5" style="6" bestFit="1" customWidth="1"/>
    <col min="3536" max="3536" width="4.6640625" style="6" bestFit="1" customWidth="1"/>
    <col min="3537" max="3540" width="9" style="6"/>
    <col min="3541" max="3541" width="11.1640625" style="6" customWidth="1"/>
    <col min="3542" max="3542" width="11.1640625" style="6" bestFit="1" customWidth="1"/>
    <col min="3543" max="3544" width="8" style="6" bestFit="1" customWidth="1"/>
    <col min="3545" max="3545" width="4.6640625" style="6" bestFit="1" customWidth="1"/>
    <col min="3546" max="3547" width="11.1640625" style="6" bestFit="1" customWidth="1"/>
    <col min="3548" max="3786" width="9" style="6"/>
    <col min="3787" max="3787" width="3" style="6" customWidth="1"/>
    <col min="3788" max="3788" width="12.1640625" style="6" bestFit="1" customWidth="1"/>
    <col min="3789" max="3789" width="9.6640625" style="6" bestFit="1" customWidth="1"/>
    <col min="3790" max="3791" width="7.5" style="6" bestFit="1" customWidth="1"/>
    <col min="3792" max="3792" width="4.6640625" style="6" bestFit="1" customWidth="1"/>
    <col min="3793" max="3796" width="9" style="6"/>
    <col min="3797" max="3797" width="11.1640625" style="6" customWidth="1"/>
    <col min="3798" max="3798" width="11.1640625" style="6" bestFit="1" customWidth="1"/>
    <col min="3799" max="3800" width="8" style="6" bestFit="1" customWidth="1"/>
    <col min="3801" max="3801" width="4.6640625" style="6" bestFit="1" customWidth="1"/>
    <col min="3802" max="3803" width="11.1640625" style="6" bestFit="1" customWidth="1"/>
    <col min="3804" max="4042" width="9" style="6"/>
    <col min="4043" max="4043" width="3" style="6" customWidth="1"/>
    <col min="4044" max="4044" width="12.1640625" style="6" bestFit="1" customWidth="1"/>
    <col min="4045" max="4045" width="9.6640625" style="6" bestFit="1" customWidth="1"/>
    <col min="4046" max="4047" width="7.5" style="6" bestFit="1" customWidth="1"/>
    <col min="4048" max="4048" width="4.6640625" style="6" bestFit="1" customWidth="1"/>
    <col min="4049" max="4052" width="9" style="6"/>
    <col min="4053" max="4053" width="11.1640625" style="6" customWidth="1"/>
    <col min="4054" max="4054" width="11.1640625" style="6" bestFit="1" customWidth="1"/>
    <col min="4055" max="4056" width="8" style="6" bestFit="1" customWidth="1"/>
    <col min="4057" max="4057" width="4.6640625" style="6" bestFit="1" customWidth="1"/>
    <col min="4058" max="4059" width="11.1640625" style="6" bestFit="1" customWidth="1"/>
    <col min="4060" max="4298" width="9" style="6"/>
    <col min="4299" max="4299" width="3" style="6" customWidth="1"/>
    <col min="4300" max="4300" width="12.1640625" style="6" bestFit="1" customWidth="1"/>
    <col min="4301" max="4301" width="9.6640625" style="6" bestFit="1" customWidth="1"/>
    <col min="4302" max="4303" width="7.5" style="6" bestFit="1" customWidth="1"/>
    <col min="4304" max="4304" width="4.6640625" style="6" bestFit="1" customWidth="1"/>
    <col min="4305" max="4308" width="9" style="6"/>
    <col min="4309" max="4309" width="11.1640625" style="6" customWidth="1"/>
    <col min="4310" max="4310" width="11.1640625" style="6" bestFit="1" customWidth="1"/>
    <col min="4311" max="4312" width="8" style="6" bestFit="1" customWidth="1"/>
    <col min="4313" max="4313" width="4.6640625" style="6" bestFit="1" customWidth="1"/>
    <col min="4314" max="4315" width="11.1640625" style="6" bestFit="1" customWidth="1"/>
    <col min="4316" max="4554" width="9" style="6"/>
    <col min="4555" max="4555" width="3" style="6" customWidth="1"/>
    <col min="4556" max="4556" width="12.1640625" style="6" bestFit="1" customWidth="1"/>
    <col min="4557" max="4557" width="9.6640625" style="6" bestFit="1" customWidth="1"/>
    <col min="4558" max="4559" width="7.5" style="6" bestFit="1" customWidth="1"/>
    <col min="4560" max="4560" width="4.6640625" style="6" bestFit="1" customWidth="1"/>
    <col min="4561" max="4564" width="9" style="6"/>
    <col min="4565" max="4565" width="11.1640625" style="6" customWidth="1"/>
    <col min="4566" max="4566" width="11.1640625" style="6" bestFit="1" customWidth="1"/>
    <col min="4567" max="4568" width="8" style="6" bestFit="1" customWidth="1"/>
    <col min="4569" max="4569" width="4.6640625" style="6" bestFit="1" customWidth="1"/>
    <col min="4570" max="4571" width="11.1640625" style="6" bestFit="1" customWidth="1"/>
    <col min="4572" max="4810" width="9" style="6"/>
    <col min="4811" max="4811" width="3" style="6" customWidth="1"/>
    <col min="4812" max="4812" width="12.1640625" style="6" bestFit="1" customWidth="1"/>
    <col min="4813" max="4813" width="9.6640625" style="6" bestFit="1" customWidth="1"/>
    <col min="4814" max="4815" width="7.5" style="6" bestFit="1" customWidth="1"/>
    <col min="4816" max="4816" width="4.6640625" style="6" bestFit="1" customWidth="1"/>
    <col min="4817" max="4820" width="9" style="6"/>
    <col min="4821" max="4821" width="11.1640625" style="6" customWidth="1"/>
    <col min="4822" max="4822" width="11.1640625" style="6" bestFit="1" customWidth="1"/>
    <col min="4823" max="4824" width="8" style="6" bestFit="1" customWidth="1"/>
    <col min="4825" max="4825" width="4.6640625" style="6" bestFit="1" customWidth="1"/>
    <col min="4826" max="4827" width="11.1640625" style="6" bestFit="1" customWidth="1"/>
    <col min="4828" max="5066" width="9" style="6"/>
    <col min="5067" max="5067" width="3" style="6" customWidth="1"/>
    <col min="5068" max="5068" width="12.1640625" style="6" bestFit="1" customWidth="1"/>
    <col min="5069" max="5069" width="9.6640625" style="6" bestFit="1" customWidth="1"/>
    <col min="5070" max="5071" width="7.5" style="6" bestFit="1" customWidth="1"/>
    <col min="5072" max="5072" width="4.6640625" style="6" bestFit="1" customWidth="1"/>
    <col min="5073" max="5076" width="9" style="6"/>
    <col min="5077" max="5077" width="11.1640625" style="6" customWidth="1"/>
    <col min="5078" max="5078" width="11.1640625" style="6" bestFit="1" customWidth="1"/>
    <col min="5079" max="5080" width="8" style="6" bestFit="1" customWidth="1"/>
    <col min="5081" max="5081" width="4.6640625" style="6" bestFit="1" customWidth="1"/>
    <col min="5082" max="5083" width="11.1640625" style="6" bestFit="1" customWidth="1"/>
    <col min="5084" max="5322" width="9" style="6"/>
    <col min="5323" max="5323" width="3" style="6" customWidth="1"/>
    <col min="5324" max="5324" width="12.1640625" style="6" bestFit="1" customWidth="1"/>
    <col min="5325" max="5325" width="9.6640625" style="6" bestFit="1" customWidth="1"/>
    <col min="5326" max="5327" width="7.5" style="6" bestFit="1" customWidth="1"/>
    <col min="5328" max="5328" width="4.6640625" style="6" bestFit="1" customWidth="1"/>
    <col min="5329" max="5332" width="9" style="6"/>
    <col min="5333" max="5333" width="11.1640625" style="6" customWidth="1"/>
    <col min="5334" max="5334" width="11.1640625" style="6" bestFit="1" customWidth="1"/>
    <col min="5335" max="5336" width="8" style="6" bestFit="1" customWidth="1"/>
    <col min="5337" max="5337" width="4.6640625" style="6" bestFit="1" customWidth="1"/>
    <col min="5338" max="5339" width="11.1640625" style="6" bestFit="1" customWidth="1"/>
    <col min="5340" max="5578" width="9" style="6"/>
    <col min="5579" max="5579" width="3" style="6" customWidth="1"/>
    <col min="5580" max="5580" width="12.1640625" style="6" bestFit="1" customWidth="1"/>
    <col min="5581" max="5581" width="9.6640625" style="6" bestFit="1" customWidth="1"/>
    <col min="5582" max="5583" width="7.5" style="6" bestFit="1" customWidth="1"/>
    <col min="5584" max="5584" width="4.6640625" style="6" bestFit="1" customWidth="1"/>
    <col min="5585" max="5588" width="9" style="6"/>
    <col min="5589" max="5589" width="11.1640625" style="6" customWidth="1"/>
    <col min="5590" max="5590" width="11.1640625" style="6" bestFit="1" customWidth="1"/>
    <col min="5591" max="5592" width="8" style="6" bestFit="1" customWidth="1"/>
    <col min="5593" max="5593" width="4.6640625" style="6" bestFit="1" customWidth="1"/>
    <col min="5594" max="5595" width="11.1640625" style="6" bestFit="1" customWidth="1"/>
    <col min="5596" max="5834" width="9" style="6"/>
    <col min="5835" max="5835" width="3" style="6" customWidth="1"/>
    <col min="5836" max="5836" width="12.1640625" style="6" bestFit="1" customWidth="1"/>
    <col min="5837" max="5837" width="9.6640625" style="6" bestFit="1" customWidth="1"/>
    <col min="5838" max="5839" width="7.5" style="6" bestFit="1" customWidth="1"/>
    <col min="5840" max="5840" width="4.6640625" style="6" bestFit="1" customWidth="1"/>
    <col min="5841" max="5844" width="9" style="6"/>
    <col min="5845" max="5845" width="11.1640625" style="6" customWidth="1"/>
    <col min="5846" max="5846" width="11.1640625" style="6" bestFit="1" customWidth="1"/>
    <col min="5847" max="5848" width="8" style="6" bestFit="1" customWidth="1"/>
    <col min="5849" max="5849" width="4.6640625" style="6" bestFit="1" customWidth="1"/>
    <col min="5850" max="5851" width="11.1640625" style="6" bestFit="1" customWidth="1"/>
    <col min="5852" max="6090" width="9" style="6"/>
    <col min="6091" max="6091" width="3" style="6" customWidth="1"/>
    <col min="6092" max="6092" width="12.1640625" style="6" bestFit="1" customWidth="1"/>
    <col min="6093" max="6093" width="9.6640625" style="6" bestFit="1" customWidth="1"/>
    <col min="6094" max="6095" width="7.5" style="6" bestFit="1" customWidth="1"/>
    <col min="6096" max="6096" width="4.6640625" style="6" bestFit="1" customWidth="1"/>
    <col min="6097" max="6100" width="9" style="6"/>
    <col min="6101" max="6101" width="11.1640625" style="6" customWidth="1"/>
    <col min="6102" max="6102" width="11.1640625" style="6" bestFit="1" customWidth="1"/>
    <col min="6103" max="6104" width="8" style="6" bestFit="1" customWidth="1"/>
    <col min="6105" max="6105" width="4.6640625" style="6" bestFit="1" customWidth="1"/>
    <col min="6106" max="6107" width="11.1640625" style="6" bestFit="1" customWidth="1"/>
    <col min="6108" max="6346" width="9" style="6"/>
    <col min="6347" max="6347" width="3" style="6" customWidth="1"/>
    <col min="6348" max="6348" width="12.1640625" style="6" bestFit="1" customWidth="1"/>
    <col min="6349" max="6349" width="9.6640625" style="6" bestFit="1" customWidth="1"/>
    <col min="6350" max="6351" width="7.5" style="6" bestFit="1" customWidth="1"/>
    <col min="6352" max="6352" width="4.6640625" style="6" bestFit="1" customWidth="1"/>
    <col min="6353" max="6356" width="9" style="6"/>
    <col min="6357" max="6357" width="11.1640625" style="6" customWidth="1"/>
    <col min="6358" max="6358" width="11.1640625" style="6" bestFit="1" customWidth="1"/>
    <col min="6359" max="6360" width="8" style="6" bestFit="1" customWidth="1"/>
    <col min="6361" max="6361" width="4.6640625" style="6" bestFit="1" customWidth="1"/>
    <col min="6362" max="6363" width="11.1640625" style="6" bestFit="1" customWidth="1"/>
    <col min="6364" max="6602" width="9" style="6"/>
    <col min="6603" max="6603" width="3" style="6" customWidth="1"/>
    <col min="6604" max="6604" width="12.1640625" style="6" bestFit="1" customWidth="1"/>
    <col min="6605" max="6605" width="9.6640625" style="6" bestFit="1" customWidth="1"/>
    <col min="6606" max="6607" width="7.5" style="6" bestFit="1" customWidth="1"/>
    <col min="6608" max="6608" width="4.6640625" style="6" bestFit="1" customWidth="1"/>
    <col min="6609" max="6612" width="9" style="6"/>
    <col min="6613" max="6613" width="11.1640625" style="6" customWidth="1"/>
    <col min="6614" max="6614" width="11.1640625" style="6" bestFit="1" customWidth="1"/>
    <col min="6615" max="6616" width="8" style="6" bestFit="1" customWidth="1"/>
    <col min="6617" max="6617" width="4.6640625" style="6" bestFit="1" customWidth="1"/>
    <col min="6618" max="6619" width="11.1640625" style="6" bestFit="1" customWidth="1"/>
    <col min="6620" max="6858" width="9" style="6"/>
    <col min="6859" max="6859" width="3" style="6" customWidth="1"/>
    <col min="6860" max="6860" width="12.1640625" style="6" bestFit="1" customWidth="1"/>
    <col min="6861" max="6861" width="9.6640625" style="6" bestFit="1" customWidth="1"/>
    <col min="6862" max="6863" width="7.5" style="6" bestFit="1" customWidth="1"/>
    <col min="6864" max="6864" width="4.6640625" style="6" bestFit="1" customWidth="1"/>
    <col min="6865" max="6868" width="9" style="6"/>
    <col min="6869" max="6869" width="11.1640625" style="6" customWidth="1"/>
    <col min="6870" max="6870" width="11.1640625" style="6" bestFit="1" customWidth="1"/>
    <col min="6871" max="6872" width="8" style="6" bestFit="1" customWidth="1"/>
    <col min="6873" max="6873" width="4.6640625" style="6" bestFit="1" customWidth="1"/>
    <col min="6874" max="6875" width="11.1640625" style="6" bestFit="1" customWidth="1"/>
    <col min="6876" max="7114" width="9" style="6"/>
    <col min="7115" max="7115" width="3" style="6" customWidth="1"/>
    <col min="7116" max="7116" width="12.1640625" style="6" bestFit="1" customWidth="1"/>
    <col min="7117" max="7117" width="9.6640625" style="6" bestFit="1" customWidth="1"/>
    <col min="7118" max="7119" width="7.5" style="6" bestFit="1" customWidth="1"/>
    <col min="7120" max="7120" width="4.6640625" style="6" bestFit="1" customWidth="1"/>
    <col min="7121" max="7124" width="9" style="6"/>
    <col min="7125" max="7125" width="11.1640625" style="6" customWidth="1"/>
    <col min="7126" max="7126" width="11.1640625" style="6" bestFit="1" customWidth="1"/>
    <col min="7127" max="7128" width="8" style="6" bestFit="1" customWidth="1"/>
    <col min="7129" max="7129" width="4.6640625" style="6" bestFit="1" customWidth="1"/>
    <col min="7130" max="7131" width="11.1640625" style="6" bestFit="1" customWidth="1"/>
    <col min="7132" max="7370" width="9" style="6"/>
    <col min="7371" max="7371" width="3" style="6" customWidth="1"/>
    <col min="7372" max="7372" width="12.1640625" style="6" bestFit="1" customWidth="1"/>
    <col min="7373" max="7373" width="9.6640625" style="6" bestFit="1" customWidth="1"/>
    <col min="7374" max="7375" width="7.5" style="6" bestFit="1" customWidth="1"/>
    <col min="7376" max="7376" width="4.6640625" style="6" bestFit="1" customWidth="1"/>
    <col min="7377" max="7380" width="9" style="6"/>
    <col min="7381" max="7381" width="11.1640625" style="6" customWidth="1"/>
    <col min="7382" max="7382" width="11.1640625" style="6" bestFit="1" customWidth="1"/>
    <col min="7383" max="7384" width="8" style="6" bestFit="1" customWidth="1"/>
    <col min="7385" max="7385" width="4.6640625" style="6" bestFit="1" customWidth="1"/>
    <col min="7386" max="7387" width="11.1640625" style="6" bestFit="1" customWidth="1"/>
    <col min="7388" max="7626" width="9" style="6"/>
    <col min="7627" max="7627" width="3" style="6" customWidth="1"/>
    <col min="7628" max="7628" width="12.1640625" style="6" bestFit="1" customWidth="1"/>
    <col min="7629" max="7629" width="9.6640625" style="6" bestFit="1" customWidth="1"/>
    <col min="7630" max="7631" width="7.5" style="6" bestFit="1" customWidth="1"/>
    <col min="7632" max="7632" width="4.6640625" style="6" bestFit="1" customWidth="1"/>
    <col min="7633" max="7636" width="9" style="6"/>
    <col min="7637" max="7637" width="11.1640625" style="6" customWidth="1"/>
    <col min="7638" max="7638" width="11.1640625" style="6" bestFit="1" customWidth="1"/>
    <col min="7639" max="7640" width="8" style="6" bestFit="1" customWidth="1"/>
    <col min="7641" max="7641" width="4.6640625" style="6" bestFit="1" customWidth="1"/>
    <col min="7642" max="7643" width="11.1640625" style="6" bestFit="1" customWidth="1"/>
    <col min="7644" max="7882" width="9" style="6"/>
    <col min="7883" max="7883" width="3" style="6" customWidth="1"/>
    <col min="7884" max="7884" width="12.1640625" style="6" bestFit="1" customWidth="1"/>
    <col min="7885" max="7885" width="9.6640625" style="6" bestFit="1" customWidth="1"/>
    <col min="7886" max="7887" width="7.5" style="6" bestFit="1" customWidth="1"/>
    <col min="7888" max="7888" width="4.6640625" style="6" bestFit="1" customWidth="1"/>
    <col min="7889" max="7892" width="9" style="6"/>
    <col min="7893" max="7893" width="11.1640625" style="6" customWidth="1"/>
    <col min="7894" max="7894" width="11.1640625" style="6" bestFit="1" customWidth="1"/>
    <col min="7895" max="7896" width="8" style="6" bestFit="1" customWidth="1"/>
    <col min="7897" max="7897" width="4.6640625" style="6" bestFit="1" customWidth="1"/>
    <col min="7898" max="7899" width="11.1640625" style="6" bestFit="1" customWidth="1"/>
    <col min="7900" max="8138" width="9" style="6"/>
    <col min="8139" max="8139" width="3" style="6" customWidth="1"/>
    <col min="8140" max="8140" width="12.1640625" style="6" bestFit="1" customWidth="1"/>
    <col min="8141" max="8141" width="9.6640625" style="6" bestFit="1" customWidth="1"/>
    <col min="8142" max="8143" width="7.5" style="6" bestFit="1" customWidth="1"/>
    <col min="8144" max="8144" width="4.6640625" style="6" bestFit="1" customWidth="1"/>
    <col min="8145" max="8148" width="9" style="6"/>
    <col min="8149" max="8149" width="11.1640625" style="6" customWidth="1"/>
    <col min="8150" max="8150" width="11.1640625" style="6" bestFit="1" customWidth="1"/>
    <col min="8151" max="8152" width="8" style="6" bestFit="1" customWidth="1"/>
    <col min="8153" max="8153" width="4.6640625" style="6" bestFit="1" customWidth="1"/>
    <col min="8154" max="8155" width="11.1640625" style="6" bestFit="1" customWidth="1"/>
    <col min="8156" max="8394" width="9" style="6"/>
    <col min="8395" max="8395" width="3" style="6" customWidth="1"/>
    <col min="8396" max="8396" width="12.1640625" style="6" bestFit="1" customWidth="1"/>
    <col min="8397" max="8397" width="9.6640625" style="6" bestFit="1" customWidth="1"/>
    <col min="8398" max="8399" width="7.5" style="6" bestFit="1" customWidth="1"/>
    <col min="8400" max="8400" width="4.6640625" style="6" bestFit="1" customWidth="1"/>
    <col min="8401" max="8404" width="9" style="6"/>
    <col min="8405" max="8405" width="11.1640625" style="6" customWidth="1"/>
    <col min="8406" max="8406" width="11.1640625" style="6" bestFit="1" customWidth="1"/>
    <col min="8407" max="8408" width="8" style="6" bestFit="1" customWidth="1"/>
    <col min="8409" max="8409" width="4.6640625" style="6" bestFit="1" customWidth="1"/>
    <col min="8410" max="8411" width="11.1640625" style="6" bestFit="1" customWidth="1"/>
    <col min="8412" max="8650" width="9" style="6"/>
    <col min="8651" max="8651" width="3" style="6" customWidth="1"/>
    <col min="8652" max="8652" width="12.1640625" style="6" bestFit="1" customWidth="1"/>
    <col min="8653" max="8653" width="9.6640625" style="6" bestFit="1" customWidth="1"/>
    <col min="8654" max="8655" width="7.5" style="6" bestFit="1" customWidth="1"/>
    <col min="8656" max="8656" width="4.6640625" style="6" bestFit="1" customWidth="1"/>
    <col min="8657" max="8660" width="9" style="6"/>
    <col min="8661" max="8661" width="11.1640625" style="6" customWidth="1"/>
    <col min="8662" max="8662" width="11.1640625" style="6" bestFit="1" customWidth="1"/>
    <col min="8663" max="8664" width="8" style="6" bestFit="1" customWidth="1"/>
    <col min="8665" max="8665" width="4.6640625" style="6" bestFit="1" customWidth="1"/>
    <col min="8666" max="8667" width="11.1640625" style="6" bestFit="1" customWidth="1"/>
    <col min="8668" max="8906" width="9" style="6"/>
    <col min="8907" max="8907" width="3" style="6" customWidth="1"/>
    <col min="8908" max="8908" width="12.1640625" style="6" bestFit="1" customWidth="1"/>
    <col min="8909" max="8909" width="9.6640625" style="6" bestFit="1" customWidth="1"/>
    <col min="8910" max="8911" width="7.5" style="6" bestFit="1" customWidth="1"/>
    <col min="8912" max="8912" width="4.6640625" style="6" bestFit="1" customWidth="1"/>
    <col min="8913" max="8916" width="9" style="6"/>
    <col min="8917" max="8917" width="11.1640625" style="6" customWidth="1"/>
    <col min="8918" max="8918" width="11.1640625" style="6" bestFit="1" customWidth="1"/>
    <col min="8919" max="8920" width="8" style="6" bestFit="1" customWidth="1"/>
    <col min="8921" max="8921" width="4.6640625" style="6" bestFit="1" customWidth="1"/>
    <col min="8922" max="8923" width="11.1640625" style="6" bestFit="1" customWidth="1"/>
    <col min="8924" max="9162" width="9" style="6"/>
    <col min="9163" max="9163" width="3" style="6" customWidth="1"/>
    <col min="9164" max="9164" width="12.1640625" style="6" bestFit="1" customWidth="1"/>
    <col min="9165" max="9165" width="9.6640625" style="6" bestFit="1" customWidth="1"/>
    <col min="9166" max="9167" width="7.5" style="6" bestFit="1" customWidth="1"/>
    <col min="9168" max="9168" width="4.6640625" style="6" bestFit="1" customWidth="1"/>
    <col min="9169" max="9172" width="9" style="6"/>
    <col min="9173" max="9173" width="11.1640625" style="6" customWidth="1"/>
    <col min="9174" max="9174" width="11.1640625" style="6" bestFit="1" customWidth="1"/>
    <col min="9175" max="9176" width="8" style="6" bestFit="1" customWidth="1"/>
    <col min="9177" max="9177" width="4.6640625" style="6" bestFit="1" customWidth="1"/>
    <col min="9178" max="9179" width="11.1640625" style="6" bestFit="1" customWidth="1"/>
    <col min="9180" max="9418" width="9" style="6"/>
    <col min="9419" max="9419" width="3" style="6" customWidth="1"/>
    <col min="9420" max="9420" width="12.1640625" style="6" bestFit="1" customWidth="1"/>
    <col min="9421" max="9421" width="9.6640625" style="6" bestFit="1" customWidth="1"/>
    <col min="9422" max="9423" width="7.5" style="6" bestFit="1" customWidth="1"/>
    <col min="9424" max="9424" width="4.6640625" style="6" bestFit="1" customWidth="1"/>
    <col min="9425" max="9428" width="9" style="6"/>
    <col min="9429" max="9429" width="11.1640625" style="6" customWidth="1"/>
    <col min="9430" max="9430" width="11.1640625" style="6" bestFit="1" customWidth="1"/>
    <col min="9431" max="9432" width="8" style="6" bestFit="1" customWidth="1"/>
    <col min="9433" max="9433" width="4.6640625" style="6" bestFit="1" customWidth="1"/>
    <col min="9434" max="9435" width="11.1640625" style="6" bestFit="1" customWidth="1"/>
    <col min="9436" max="9674" width="9" style="6"/>
    <col min="9675" max="9675" width="3" style="6" customWidth="1"/>
    <col min="9676" max="9676" width="12.1640625" style="6" bestFit="1" customWidth="1"/>
    <col min="9677" max="9677" width="9.6640625" style="6" bestFit="1" customWidth="1"/>
    <col min="9678" max="9679" width="7.5" style="6" bestFit="1" customWidth="1"/>
    <col min="9680" max="9680" width="4.6640625" style="6" bestFit="1" customWidth="1"/>
    <col min="9681" max="9684" width="9" style="6"/>
    <col min="9685" max="9685" width="11.1640625" style="6" customWidth="1"/>
    <col min="9686" max="9686" width="11.1640625" style="6" bestFit="1" customWidth="1"/>
    <col min="9687" max="9688" width="8" style="6" bestFit="1" customWidth="1"/>
    <col min="9689" max="9689" width="4.6640625" style="6" bestFit="1" customWidth="1"/>
    <col min="9690" max="9691" width="11.1640625" style="6" bestFit="1" customWidth="1"/>
    <col min="9692" max="9930" width="9" style="6"/>
    <col min="9931" max="9931" width="3" style="6" customWidth="1"/>
    <col min="9932" max="9932" width="12.1640625" style="6" bestFit="1" customWidth="1"/>
    <col min="9933" max="9933" width="9.6640625" style="6" bestFit="1" customWidth="1"/>
    <col min="9934" max="9935" width="7.5" style="6" bestFit="1" customWidth="1"/>
    <col min="9936" max="9936" width="4.6640625" style="6" bestFit="1" customWidth="1"/>
    <col min="9937" max="9940" width="9" style="6"/>
    <col min="9941" max="9941" width="11.1640625" style="6" customWidth="1"/>
    <col min="9942" max="9942" width="11.1640625" style="6" bestFit="1" customWidth="1"/>
    <col min="9943" max="9944" width="8" style="6" bestFit="1" customWidth="1"/>
    <col min="9945" max="9945" width="4.6640625" style="6" bestFit="1" customWidth="1"/>
    <col min="9946" max="9947" width="11.1640625" style="6" bestFit="1" customWidth="1"/>
    <col min="9948" max="10186" width="9" style="6"/>
    <col min="10187" max="10187" width="3" style="6" customWidth="1"/>
    <col min="10188" max="10188" width="12.1640625" style="6" bestFit="1" customWidth="1"/>
    <col min="10189" max="10189" width="9.6640625" style="6" bestFit="1" customWidth="1"/>
    <col min="10190" max="10191" width="7.5" style="6" bestFit="1" customWidth="1"/>
    <col min="10192" max="10192" width="4.6640625" style="6" bestFit="1" customWidth="1"/>
    <col min="10193" max="10196" width="9" style="6"/>
    <col min="10197" max="10197" width="11.1640625" style="6" customWidth="1"/>
    <col min="10198" max="10198" width="11.1640625" style="6" bestFit="1" customWidth="1"/>
    <col min="10199" max="10200" width="8" style="6" bestFit="1" customWidth="1"/>
    <col min="10201" max="10201" width="4.6640625" style="6" bestFit="1" customWidth="1"/>
    <col min="10202" max="10203" width="11.1640625" style="6" bestFit="1" customWidth="1"/>
    <col min="10204" max="10442" width="9" style="6"/>
    <col min="10443" max="10443" width="3" style="6" customWidth="1"/>
    <col min="10444" max="10444" width="12.1640625" style="6" bestFit="1" customWidth="1"/>
    <col min="10445" max="10445" width="9.6640625" style="6" bestFit="1" customWidth="1"/>
    <col min="10446" max="10447" width="7.5" style="6" bestFit="1" customWidth="1"/>
    <col min="10448" max="10448" width="4.6640625" style="6" bestFit="1" customWidth="1"/>
    <col min="10449" max="10452" width="9" style="6"/>
    <col min="10453" max="10453" width="11.1640625" style="6" customWidth="1"/>
    <col min="10454" max="10454" width="11.1640625" style="6" bestFit="1" customWidth="1"/>
    <col min="10455" max="10456" width="8" style="6" bestFit="1" customWidth="1"/>
    <col min="10457" max="10457" width="4.6640625" style="6" bestFit="1" customWidth="1"/>
    <col min="10458" max="10459" width="11.1640625" style="6" bestFit="1" customWidth="1"/>
    <col min="10460" max="10698" width="9" style="6"/>
    <col min="10699" max="10699" width="3" style="6" customWidth="1"/>
    <col min="10700" max="10700" width="12.1640625" style="6" bestFit="1" customWidth="1"/>
    <col min="10701" max="10701" width="9.6640625" style="6" bestFit="1" customWidth="1"/>
    <col min="10702" max="10703" width="7.5" style="6" bestFit="1" customWidth="1"/>
    <col min="10704" max="10704" width="4.6640625" style="6" bestFit="1" customWidth="1"/>
    <col min="10705" max="10708" width="9" style="6"/>
    <col min="10709" max="10709" width="11.1640625" style="6" customWidth="1"/>
    <col min="10710" max="10710" width="11.1640625" style="6" bestFit="1" customWidth="1"/>
    <col min="10711" max="10712" width="8" style="6" bestFit="1" customWidth="1"/>
    <col min="10713" max="10713" width="4.6640625" style="6" bestFit="1" customWidth="1"/>
    <col min="10714" max="10715" width="11.1640625" style="6" bestFit="1" customWidth="1"/>
    <col min="10716" max="10954" width="9" style="6"/>
    <col min="10955" max="10955" width="3" style="6" customWidth="1"/>
    <col min="10956" max="10956" width="12.1640625" style="6" bestFit="1" customWidth="1"/>
    <col min="10957" max="10957" width="9.6640625" style="6" bestFit="1" customWidth="1"/>
    <col min="10958" max="10959" width="7.5" style="6" bestFit="1" customWidth="1"/>
    <col min="10960" max="10960" width="4.6640625" style="6" bestFit="1" customWidth="1"/>
    <col min="10961" max="10964" width="9" style="6"/>
    <col min="10965" max="10965" width="11.1640625" style="6" customWidth="1"/>
    <col min="10966" max="10966" width="11.1640625" style="6" bestFit="1" customWidth="1"/>
    <col min="10967" max="10968" width="8" style="6" bestFit="1" customWidth="1"/>
    <col min="10969" max="10969" width="4.6640625" style="6" bestFit="1" customWidth="1"/>
    <col min="10970" max="10971" width="11.1640625" style="6" bestFit="1" customWidth="1"/>
    <col min="10972" max="11210" width="9" style="6"/>
    <col min="11211" max="11211" width="3" style="6" customWidth="1"/>
    <col min="11212" max="11212" width="12.1640625" style="6" bestFit="1" customWidth="1"/>
    <col min="11213" max="11213" width="9.6640625" style="6" bestFit="1" customWidth="1"/>
    <col min="11214" max="11215" width="7.5" style="6" bestFit="1" customWidth="1"/>
    <col min="11216" max="11216" width="4.6640625" style="6" bestFit="1" customWidth="1"/>
    <col min="11217" max="11220" width="9" style="6"/>
    <col min="11221" max="11221" width="11.1640625" style="6" customWidth="1"/>
    <col min="11222" max="11222" width="11.1640625" style="6" bestFit="1" customWidth="1"/>
    <col min="11223" max="11224" width="8" style="6" bestFit="1" customWidth="1"/>
    <col min="11225" max="11225" width="4.6640625" style="6" bestFit="1" customWidth="1"/>
    <col min="11226" max="11227" width="11.1640625" style="6" bestFit="1" customWidth="1"/>
    <col min="11228" max="11466" width="9" style="6"/>
    <col min="11467" max="11467" width="3" style="6" customWidth="1"/>
    <col min="11468" max="11468" width="12.1640625" style="6" bestFit="1" customWidth="1"/>
    <col min="11469" max="11469" width="9.6640625" style="6" bestFit="1" customWidth="1"/>
    <col min="11470" max="11471" width="7.5" style="6" bestFit="1" customWidth="1"/>
    <col min="11472" max="11472" width="4.6640625" style="6" bestFit="1" customWidth="1"/>
    <col min="11473" max="11476" width="9" style="6"/>
    <col min="11477" max="11477" width="11.1640625" style="6" customWidth="1"/>
    <col min="11478" max="11478" width="11.1640625" style="6" bestFit="1" customWidth="1"/>
    <col min="11479" max="11480" width="8" style="6" bestFit="1" customWidth="1"/>
    <col min="11481" max="11481" width="4.6640625" style="6" bestFit="1" customWidth="1"/>
    <col min="11482" max="11483" width="11.1640625" style="6" bestFit="1" customWidth="1"/>
    <col min="11484" max="11722" width="9" style="6"/>
    <col min="11723" max="11723" width="3" style="6" customWidth="1"/>
    <col min="11724" max="11724" width="12.1640625" style="6" bestFit="1" customWidth="1"/>
    <col min="11725" max="11725" width="9.6640625" style="6" bestFit="1" customWidth="1"/>
    <col min="11726" max="11727" width="7.5" style="6" bestFit="1" customWidth="1"/>
    <col min="11728" max="11728" width="4.6640625" style="6" bestFit="1" customWidth="1"/>
    <col min="11729" max="11732" width="9" style="6"/>
    <col min="11733" max="11733" width="11.1640625" style="6" customWidth="1"/>
    <col min="11734" max="11734" width="11.1640625" style="6" bestFit="1" customWidth="1"/>
    <col min="11735" max="11736" width="8" style="6" bestFit="1" customWidth="1"/>
    <col min="11737" max="11737" width="4.6640625" style="6" bestFit="1" customWidth="1"/>
    <col min="11738" max="11739" width="11.1640625" style="6" bestFit="1" customWidth="1"/>
    <col min="11740" max="11978" width="9" style="6"/>
    <col min="11979" max="11979" width="3" style="6" customWidth="1"/>
    <col min="11980" max="11980" width="12.1640625" style="6" bestFit="1" customWidth="1"/>
    <col min="11981" max="11981" width="9.6640625" style="6" bestFit="1" customWidth="1"/>
    <col min="11982" max="11983" width="7.5" style="6" bestFit="1" customWidth="1"/>
    <col min="11984" max="11984" width="4.6640625" style="6" bestFit="1" customWidth="1"/>
    <col min="11985" max="11988" width="9" style="6"/>
    <col min="11989" max="11989" width="11.1640625" style="6" customWidth="1"/>
    <col min="11990" max="11990" width="11.1640625" style="6" bestFit="1" customWidth="1"/>
    <col min="11991" max="11992" width="8" style="6" bestFit="1" customWidth="1"/>
    <col min="11993" max="11993" width="4.6640625" style="6" bestFit="1" customWidth="1"/>
    <col min="11994" max="11995" width="11.1640625" style="6" bestFit="1" customWidth="1"/>
    <col min="11996" max="12234" width="9" style="6"/>
    <col min="12235" max="12235" width="3" style="6" customWidth="1"/>
    <col min="12236" max="12236" width="12.1640625" style="6" bestFit="1" customWidth="1"/>
    <col min="12237" max="12237" width="9.6640625" style="6" bestFit="1" customWidth="1"/>
    <col min="12238" max="12239" width="7.5" style="6" bestFit="1" customWidth="1"/>
    <col min="12240" max="12240" width="4.6640625" style="6" bestFit="1" customWidth="1"/>
    <col min="12241" max="12244" width="9" style="6"/>
    <col min="12245" max="12245" width="11.1640625" style="6" customWidth="1"/>
    <col min="12246" max="12246" width="11.1640625" style="6" bestFit="1" customWidth="1"/>
    <col min="12247" max="12248" width="8" style="6" bestFit="1" customWidth="1"/>
    <col min="12249" max="12249" width="4.6640625" style="6" bestFit="1" customWidth="1"/>
    <col min="12250" max="12251" width="11.1640625" style="6" bestFit="1" customWidth="1"/>
    <col min="12252" max="12490" width="9" style="6"/>
    <col min="12491" max="12491" width="3" style="6" customWidth="1"/>
    <col min="12492" max="12492" width="12.1640625" style="6" bestFit="1" customWidth="1"/>
    <col min="12493" max="12493" width="9.6640625" style="6" bestFit="1" customWidth="1"/>
    <col min="12494" max="12495" width="7.5" style="6" bestFit="1" customWidth="1"/>
    <col min="12496" max="12496" width="4.6640625" style="6" bestFit="1" customWidth="1"/>
    <col min="12497" max="12500" width="9" style="6"/>
    <col min="12501" max="12501" width="11.1640625" style="6" customWidth="1"/>
    <col min="12502" max="12502" width="11.1640625" style="6" bestFit="1" customWidth="1"/>
    <col min="12503" max="12504" width="8" style="6" bestFit="1" customWidth="1"/>
    <col min="12505" max="12505" width="4.6640625" style="6" bestFit="1" customWidth="1"/>
    <col min="12506" max="12507" width="11.1640625" style="6" bestFit="1" customWidth="1"/>
    <col min="12508" max="12746" width="9" style="6"/>
    <col min="12747" max="12747" width="3" style="6" customWidth="1"/>
    <col min="12748" max="12748" width="12.1640625" style="6" bestFit="1" customWidth="1"/>
    <col min="12749" max="12749" width="9.6640625" style="6" bestFit="1" customWidth="1"/>
    <col min="12750" max="12751" width="7.5" style="6" bestFit="1" customWidth="1"/>
    <col min="12752" max="12752" width="4.6640625" style="6" bestFit="1" customWidth="1"/>
    <col min="12753" max="12756" width="9" style="6"/>
    <col min="12757" max="12757" width="11.1640625" style="6" customWidth="1"/>
    <col min="12758" max="12758" width="11.1640625" style="6" bestFit="1" customWidth="1"/>
    <col min="12759" max="12760" width="8" style="6" bestFit="1" customWidth="1"/>
    <col min="12761" max="12761" width="4.6640625" style="6" bestFit="1" customWidth="1"/>
    <col min="12762" max="12763" width="11.1640625" style="6" bestFit="1" customWidth="1"/>
    <col min="12764" max="13002" width="9" style="6"/>
    <col min="13003" max="13003" width="3" style="6" customWidth="1"/>
    <col min="13004" max="13004" width="12.1640625" style="6" bestFit="1" customWidth="1"/>
    <col min="13005" max="13005" width="9.6640625" style="6" bestFit="1" customWidth="1"/>
    <col min="13006" max="13007" width="7.5" style="6" bestFit="1" customWidth="1"/>
    <col min="13008" max="13008" width="4.6640625" style="6" bestFit="1" customWidth="1"/>
    <col min="13009" max="13012" width="9" style="6"/>
    <col min="13013" max="13013" width="11.1640625" style="6" customWidth="1"/>
    <col min="13014" max="13014" width="11.1640625" style="6" bestFit="1" customWidth="1"/>
    <col min="13015" max="13016" width="8" style="6" bestFit="1" customWidth="1"/>
    <col min="13017" max="13017" width="4.6640625" style="6" bestFit="1" customWidth="1"/>
    <col min="13018" max="13019" width="11.1640625" style="6" bestFit="1" customWidth="1"/>
    <col min="13020" max="13258" width="9" style="6"/>
    <col min="13259" max="13259" width="3" style="6" customWidth="1"/>
    <col min="13260" max="13260" width="12.1640625" style="6" bestFit="1" customWidth="1"/>
    <col min="13261" max="13261" width="9.6640625" style="6" bestFit="1" customWidth="1"/>
    <col min="13262" max="13263" width="7.5" style="6" bestFit="1" customWidth="1"/>
    <col min="13264" max="13264" width="4.6640625" style="6" bestFit="1" customWidth="1"/>
    <col min="13265" max="13268" width="9" style="6"/>
    <col min="13269" max="13269" width="11.1640625" style="6" customWidth="1"/>
    <col min="13270" max="13270" width="11.1640625" style="6" bestFit="1" customWidth="1"/>
    <col min="13271" max="13272" width="8" style="6" bestFit="1" customWidth="1"/>
    <col min="13273" max="13273" width="4.6640625" style="6" bestFit="1" customWidth="1"/>
    <col min="13274" max="13275" width="11.1640625" style="6" bestFit="1" customWidth="1"/>
    <col min="13276" max="13514" width="9" style="6"/>
    <col min="13515" max="13515" width="3" style="6" customWidth="1"/>
    <col min="13516" max="13516" width="12.1640625" style="6" bestFit="1" customWidth="1"/>
    <col min="13517" max="13517" width="9.6640625" style="6" bestFit="1" customWidth="1"/>
    <col min="13518" max="13519" width="7.5" style="6" bestFit="1" customWidth="1"/>
    <col min="13520" max="13520" width="4.6640625" style="6" bestFit="1" customWidth="1"/>
    <col min="13521" max="13524" width="9" style="6"/>
    <col min="13525" max="13525" width="11.1640625" style="6" customWidth="1"/>
    <col min="13526" max="13526" width="11.1640625" style="6" bestFit="1" customWidth="1"/>
    <col min="13527" max="13528" width="8" style="6" bestFit="1" customWidth="1"/>
    <col min="13529" max="13529" width="4.6640625" style="6" bestFit="1" customWidth="1"/>
    <col min="13530" max="13531" width="11.1640625" style="6" bestFit="1" customWidth="1"/>
    <col min="13532" max="13770" width="9" style="6"/>
    <col min="13771" max="13771" width="3" style="6" customWidth="1"/>
    <col min="13772" max="13772" width="12.1640625" style="6" bestFit="1" customWidth="1"/>
    <col min="13773" max="13773" width="9.6640625" style="6" bestFit="1" customWidth="1"/>
    <col min="13774" max="13775" width="7.5" style="6" bestFit="1" customWidth="1"/>
    <col min="13776" max="13776" width="4.6640625" style="6" bestFit="1" customWidth="1"/>
    <col min="13777" max="13780" width="9" style="6"/>
    <col min="13781" max="13781" width="11.1640625" style="6" customWidth="1"/>
    <col min="13782" max="13782" width="11.1640625" style="6" bestFit="1" customWidth="1"/>
    <col min="13783" max="13784" width="8" style="6" bestFit="1" customWidth="1"/>
    <col min="13785" max="13785" width="4.6640625" style="6" bestFit="1" customWidth="1"/>
    <col min="13786" max="13787" width="11.1640625" style="6" bestFit="1" customWidth="1"/>
    <col min="13788" max="14026" width="9" style="6"/>
    <col min="14027" max="14027" width="3" style="6" customWidth="1"/>
    <col min="14028" max="14028" width="12.1640625" style="6" bestFit="1" customWidth="1"/>
    <col min="14029" max="14029" width="9.6640625" style="6" bestFit="1" customWidth="1"/>
    <col min="14030" max="14031" width="7.5" style="6" bestFit="1" customWidth="1"/>
    <col min="14032" max="14032" width="4.6640625" style="6" bestFit="1" customWidth="1"/>
    <col min="14033" max="14036" width="9" style="6"/>
    <col min="14037" max="14037" width="11.1640625" style="6" customWidth="1"/>
    <col min="14038" max="14038" width="11.1640625" style="6" bestFit="1" customWidth="1"/>
    <col min="14039" max="14040" width="8" style="6" bestFit="1" customWidth="1"/>
    <col min="14041" max="14041" width="4.6640625" style="6" bestFit="1" customWidth="1"/>
    <col min="14042" max="14043" width="11.1640625" style="6" bestFit="1" customWidth="1"/>
    <col min="14044" max="14282" width="9" style="6"/>
    <col min="14283" max="14283" width="3" style="6" customWidth="1"/>
    <col min="14284" max="14284" width="12.1640625" style="6" bestFit="1" customWidth="1"/>
    <col min="14285" max="14285" width="9.6640625" style="6" bestFit="1" customWidth="1"/>
    <col min="14286" max="14287" width="7.5" style="6" bestFit="1" customWidth="1"/>
    <col min="14288" max="14288" width="4.6640625" style="6" bestFit="1" customWidth="1"/>
    <col min="14289" max="14292" width="9" style="6"/>
    <col min="14293" max="14293" width="11.1640625" style="6" customWidth="1"/>
    <col min="14294" max="14294" width="11.1640625" style="6" bestFit="1" customWidth="1"/>
    <col min="14295" max="14296" width="8" style="6" bestFit="1" customWidth="1"/>
    <col min="14297" max="14297" width="4.6640625" style="6" bestFit="1" customWidth="1"/>
    <col min="14298" max="14299" width="11.1640625" style="6" bestFit="1" customWidth="1"/>
    <col min="14300" max="14538" width="9" style="6"/>
    <col min="14539" max="14539" width="3" style="6" customWidth="1"/>
    <col min="14540" max="14540" width="12.1640625" style="6" bestFit="1" customWidth="1"/>
    <col min="14541" max="14541" width="9.6640625" style="6" bestFit="1" customWidth="1"/>
    <col min="14542" max="14543" width="7.5" style="6" bestFit="1" customWidth="1"/>
    <col min="14544" max="14544" width="4.6640625" style="6" bestFit="1" customWidth="1"/>
    <col min="14545" max="14548" width="9" style="6"/>
    <col min="14549" max="14549" width="11.1640625" style="6" customWidth="1"/>
    <col min="14550" max="14550" width="11.1640625" style="6" bestFit="1" customWidth="1"/>
    <col min="14551" max="14552" width="8" style="6" bestFit="1" customWidth="1"/>
    <col min="14553" max="14553" width="4.6640625" style="6" bestFit="1" customWidth="1"/>
    <col min="14554" max="14555" width="11.1640625" style="6" bestFit="1" customWidth="1"/>
    <col min="14556" max="14794" width="9" style="6"/>
    <col min="14795" max="14795" width="3" style="6" customWidth="1"/>
    <col min="14796" max="14796" width="12.1640625" style="6" bestFit="1" customWidth="1"/>
    <col min="14797" max="14797" width="9.6640625" style="6" bestFit="1" customWidth="1"/>
    <col min="14798" max="14799" width="7.5" style="6" bestFit="1" customWidth="1"/>
    <col min="14800" max="14800" width="4.6640625" style="6" bestFit="1" customWidth="1"/>
    <col min="14801" max="14804" width="9" style="6"/>
    <col min="14805" max="14805" width="11.1640625" style="6" customWidth="1"/>
    <col min="14806" max="14806" width="11.1640625" style="6" bestFit="1" customWidth="1"/>
    <col min="14807" max="14808" width="8" style="6" bestFit="1" customWidth="1"/>
    <col min="14809" max="14809" width="4.6640625" style="6" bestFit="1" customWidth="1"/>
    <col min="14810" max="14811" width="11.1640625" style="6" bestFit="1" customWidth="1"/>
    <col min="14812" max="15050" width="9" style="6"/>
    <col min="15051" max="15051" width="3" style="6" customWidth="1"/>
    <col min="15052" max="15052" width="12.1640625" style="6" bestFit="1" customWidth="1"/>
    <col min="15053" max="15053" width="9.6640625" style="6" bestFit="1" customWidth="1"/>
    <col min="15054" max="15055" width="7.5" style="6" bestFit="1" customWidth="1"/>
    <col min="15056" max="15056" width="4.6640625" style="6" bestFit="1" customWidth="1"/>
    <col min="15057" max="15060" width="9" style="6"/>
    <col min="15061" max="15061" width="11.1640625" style="6" customWidth="1"/>
    <col min="15062" max="15062" width="11.1640625" style="6" bestFit="1" customWidth="1"/>
    <col min="15063" max="15064" width="8" style="6" bestFit="1" customWidth="1"/>
    <col min="15065" max="15065" width="4.6640625" style="6" bestFit="1" customWidth="1"/>
    <col min="15066" max="15067" width="11.1640625" style="6" bestFit="1" customWidth="1"/>
    <col min="15068" max="15306" width="9" style="6"/>
    <col min="15307" max="15307" width="3" style="6" customWidth="1"/>
    <col min="15308" max="15308" width="12.1640625" style="6" bestFit="1" customWidth="1"/>
    <col min="15309" max="15309" width="9.6640625" style="6" bestFit="1" customWidth="1"/>
    <col min="15310" max="15311" width="7.5" style="6" bestFit="1" customWidth="1"/>
    <col min="15312" max="15312" width="4.6640625" style="6" bestFit="1" customWidth="1"/>
    <col min="15313" max="15316" width="9" style="6"/>
    <col min="15317" max="15317" width="11.1640625" style="6" customWidth="1"/>
    <col min="15318" max="15318" width="11.1640625" style="6" bestFit="1" customWidth="1"/>
    <col min="15319" max="15320" width="8" style="6" bestFit="1" customWidth="1"/>
    <col min="15321" max="15321" width="4.6640625" style="6" bestFit="1" customWidth="1"/>
    <col min="15322" max="15323" width="11.1640625" style="6" bestFit="1" customWidth="1"/>
    <col min="15324" max="15562" width="9" style="6"/>
    <col min="15563" max="15563" width="3" style="6" customWidth="1"/>
    <col min="15564" max="15564" width="12.1640625" style="6" bestFit="1" customWidth="1"/>
    <col min="15565" max="15565" width="9.6640625" style="6" bestFit="1" customWidth="1"/>
    <col min="15566" max="15567" width="7.5" style="6" bestFit="1" customWidth="1"/>
    <col min="15568" max="15568" width="4.6640625" style="6" bestFit="1" customWidth="1"/>
    <col min="15569" max="15572" width="9" style="6"/>
    <col min="15573" max="15573" width="11.1640625" style="6" customWidth="1"/>
    <col min="15574" max="15574" width="11.1640625" style="6" bestFit="1" customWidth="1"/>
    <col min="15575" max="15576" width="8" style="6" bestFit="1" customWidth="1"/>
    <col min="15577" max="15577" width="4.6640625" style="6" bestFit="1" customWidth="1"/>
    <col min="15578" max="15579" width="11.1640625" style="6" bestFit="1" customWidth="1"/>
    <col min="15580" max="15818" width="9" style="6"/>
    <col min="15819" max="15819" width="3" style="6" customWidth="1"/>
    <col min="15820" max="15820" width="12.1640625" style="6" bestFit="1" customWidth="1"/>
    <col min="15821" max="15821" width="9.6640625" style="6" bestFit="1" customWidth="1"/>
    <col min="15822" max="15823" width="7.5" style="6" bestFit="1" customWidth="1"/>
    <col min="15824" max="15824" width="4.6640625" style="6" bestFit="1" customWidth="1"/>
    <col min="15825" max="15828" width="9" style="6"/>
    <col min="15829" max="15829" width="11.1640625" style="6" customWidth="1"/>
    <col min="15830" max="15830" width="11.1640625" style="6" bestFit="1" customWidth="1"/>
    <col min="15831" max="15832" width="8" style="6" bestFit="1" customWidth="1"/>
    <col min="15833" max="15833" width="4.6640625" style="6" bestFit="1" customWidth="1"/>
    <col min="15834" max="15835" width="11.1640625" style="6" bestFit="1" customWidth="1"/>
    <col min="15836" max="16074" width="9" style="6"/>
    <col min="16075" max="16075" width="3" style="6" customWidth="1"/>
    <col min="16076" max="16076" width="12.1640625" style="6" bestFit="1" customWidth="1"/>
    <col min="16077" max="16077" width="9.6640625" style="6" bestFit="1" customWidth="1"/>
    <col min="16078" max="16079" width="7.5" style="6" bestFit="1" customWidth="1"/>
    <col min="16080" max="16080" width="4.6640625" style="6" bestFit="1" customWidth="1"/>
    <col min="16081" max="16084" width="9" style="6"/>
    <col min="16085" max="16085" width="11.1640625" style="6" customWidth="1"/>
    <col min="16086" max="16086" width="11.1640625" style="6" bestFit="1" customWidth="1"/>
    <col min="16087" max="16088" width="8" style="6" bestFit="1" customWidth="1"/>
    <col min="16089" max="16089" width="4.6640625" style="6" bestFit="1" customWidth="1"/>
    <col min="16090" max="16091" width="11.1640625" style="6" bestFit="1" customWidth="1"/>
    <col min="16092" max="16384" width="9" style="6"/>
  </cols>
  <sheetData>
    <row r="1" spans="1:11" ht="15" customHeight="1">
      <c r="A1" s="22" t="s">
        <v>7</v>
      </c>
      <c r="B1" s="23" t="s">
        <v>8</v>
      </c>
      <c r="C1" s="24" t="s">
        <v>9</v>
      </c>
      <c r="D1" s="25" t="s">
        <v>11</v>
      </c>
      <c r="E1" s="26" t="s">
        <v>12</v>
      </c>
      <c r="F1" s="26" t="s">
        <v>13</v>
      </c>
    </row>
    <row r="2" spans="1:11" ht="15" customHeight="1">
      <c r="A2" s="10" t="s">
        <v>14</v>
      </c>
      <c r="B2" s="10" t="s">
        <v>15</v>
      </c>
      <c r="C2" s="10" t="s">
        <v>16</v>
      </c>
      <c r="D2" s="10">
        <v>16</v>
      </c>
      <c r="E2" s="11">
        <v>19269.685163999999</v>
      </c>
      <c r="F2" s="11">
        <v>18982.847759558852</v>
      </c>
    </row>
    <row r="3" spans="1:11" ht="15" customHeight="1">
      <c r="A3" s="10" t="s">
        <v>14</v>
      </c>
      <c r="B3" s="10" t="s">
        <v>18</v>
      </c>
      <c r="C3" s="10" t="s">
        <v>19</v>
      </c>
      <c r="D3" s="10">
        <v>40</v>
      </c>
      <c r="E3" s="11">
        <v>39465.169800000003</v>
      </c>
      <c r="F3" s="11">
        <v>40893.083149311875</v>
      </c>
    </row>
    <row r="4" spans="1:11" ht="15" customHeight="1">
      <c r="A4" s="10" t="s">
        <v>14</v>
      </c>
      <c r="B4" s="10" t="s">
        <v>20</v>
      </c>
      <c r="C4" s="10" t="s">
        <v>21</v>
      </c>
      <c r="D4" s="10">
        <v>20</v>
      </c>
      <c r="E4" s="11">
        <v>21015.944745000001</v>
      </c>
      <c r="F4" s="11">
        <v>22294.085220814908</v>
      </c>
    </row>
    <row r="5" spans="1:11" ht="15" customHeight="1">
      <c r="A5" s="10" t="s">
        <v>14</v>
      </c>
      <c r="B5" s="10" t="s">
        <v>15</v>
      </c>
      <c r="C5" s="10" t="s">
        <v>16</v>
      </c>
      <c r="D5" s="10">
        <v>20</v>
      </c>
      <c r="E5" s="11">
        <v>23710.258592999999</v>
      </c>
      <c r="F5" s="11">
        <v>24318.374117613792</v>
      </c>
    </row>
    <row r="6" spans="1:11" ht="15" customHeight="1">
      <c r="A6" s="10" t="s">
        <v>14</v>
      </c>
      <c r="B6" s="10" t="s">
        <v>20</v>
      </c>
      <c r="C6" s="10" t="s">
        <v>19</v>
      </c>
      <c r="D6" s="10">
        <v>16</v>
      </c>
      <c r="E6" s="11">
        <v>20015.072431199998</v>
      </c>
      <c r="F6" s="11">
        <v>20256.694699447638</v>
      </c>
    </row>
    <row r="7" spans="1:11" ht="15" customHeight="1">
      <c r="A7" s="10" t="s">
        <v>14</v>
      </c>
      <c r="B7" s="10" t="s">
        <v>15</v>
      </c>
      <c r="C7" s="10" t="s">
        <v>21</v>
      </c>
      <c r="D7" s="10">
        <v>200</v>
      </c>
      <c r="E7" s="11">
        <v>40014.12141</v>
      </c>
      <c r="F7" s="11">
        <v>43537.557757683368</v>
      </c>
      <c r="I7" s="23" t="s">
        <v>23</v>
      </c>
      <c r="J7" s="23" t="s">
        <v>12</v>
      </c>
      <c r="K7" s="12"/>
    </row>
    <row r="8" spans="1:11" ht="15" customHeight="1">
      <c r="A8" s="10" t="s">
        <v>14</v>
      </c>
      <c r="B8" s="10" t="s">
        <v>22</v>
      </c>
      <c r="C8" s="10" t="s">
        <v>16</v>
      </c>
      <c r="D8" s="10">
        <v>100</v>
      </c>
      <c r="E8" s="11">
        <v>21423.94932</v>
      </c>
      <c r="F8" s="11">
        <v>22917.339613203356</v>
      </c>
      <c r="I8" s="10" t="s">
        <v>15</v>
      </c>
      <c r="J8" s="10">
        <f>SUMIF(B:B,I8,E:E)</f>
        <v>262302.72886559996</v>
      </c>
      <c r="K8" s="12"/>
    </row>
    <row r="9" spans="1:11" ht="15" customHeight="1">
      <c r="A9" s="10" t="s">
        <v>14</v>
      </c>
      <c r="B9" s="10" t="s">
        <v>15</v>
      </c>
      <c r="C9" s="10" t="s">
        <v>19</v>
      </c>
      <c r="D9" s="10">
        <v>200</v>
      </c>
      <c r="E9" s="11">
        <v>40014.12141</v>
      </c>
      <c r="F9" s="11">
        <v>44258.364560249865</v>
      </c>
      <c r="I9" s="10" t="s">
        <v>18</v>
      </c>
      <c r="J9" s="10">
        <f t="shared" ref="J9:J11" si="0">SUMIF(B:B,I9,E:E)</f>
        <v>136229.6119212</v>
      </c>
      <c r="K9" s="12"/>
    </row>
    <row r="10" spans="1:11" ht="15" customHeight="1">
      <c r="A10" s="10" t="s">
        <v>14</v>
      </c>
      <c r="B10" s="10" t="s">
        <v>18</v>
      </c>
      <c r="C10" s="10" t="s">
        <v>21</v>
      </c>
      <c r="D10" s="10">
        <v>400</v>
      </c>
      <c r="E10" s="11">
        <v>84271.490399999995</v>
      </c>
      <c r="F10" s="11">
        <v>92391.153643258687</v>
      </c>
      <c r="I10" s="10" t="s">
        <v>20</v>
      </c>
      <c r="J10" s="10">
        <f t="shared" si="0"/>
        <v>164243.354406</v>
      </c>
      <c r="K10" s="12"/>
    </row>
    <row r="11" spans="1:11" ht="15" customHeight="1">
      <c r="A11" s="10" t="s">
        <v>14</v>
      </c>
      <c r="B11" s="10" t="s">
        <v>20</v>
      </c>
      <c r="C11" s="10" t="s">
        <v>16</v>
      </c>
      <c r="D11" s="10">
        <v>212</v>
      </c>
      <c r="E11" s="11">
        <v>48705.657414599991</v>
      </c>
      <c r="F11" s="11">
        <v>51700.030820578511</v>
      </c>
      <c r="I11" s="10" t="s">
        <v>22</v>
      </c>
      <c r="J11" s="10">
        <f t="shared" si="0"/>
        <v>59742.552081599992</v>
      </c>
      <c r="K11" s="12"/>
    </row>
    <row r="12" spans="1:11" ht="15" customHeight="1">
      <c r="A12" s="10" t="s">
        <v>14</v>
      </c>
      <c r="B12" s="10" t="s">
        <v>15</v>
      </c>
      <c r="C12" s="10" t="s">
        <v>19</v>
      </c>
      <c r="D12" s="10">
        <v>224</v>
      </c>
      <c r="E12" s="11">
        <v>47192.034624</v>
      </c>
      <c r="F12" s="11">
        <v>50558.498384562939</v>
      </c>
      <c r="I12" s="12"/>
      <c r="J12" s="12"/>
      <c r="K12" s="12"/>
    </row>
    <row r="13" spans="1:11" ht="15" customHeight="1">
      <c r="A13" s="10" t="s">
        <v>14</v>
      </c>
      <c r="B13" s="10" t="s">
        <v>20</v>
      </c>
      <c r="C13" s="10" t="s">
        <v>21</v>
      </c>
      <c r="D13" s="10">
        <v>92</v>
      </c>
      <c r="E13" s="11">
        <v>21136.417368599999</v>
      </c>
      <c r="F13" s="11">
        <v>22115.228953458598</v>
      </c>
      <c r="I13" s="12"/>
      <c r="J13" s="12"/>
      <c r="K13" s="12"/>
    </row>
    <row r="14" spans="1:11" ht="15" customHeight="1">
      <c r="A14" s="10" t="s">
        <v>14</v>
      </c>
      <c r="B14" s="10" t="s">
        <v>15</v>
      </c>
      <c r="C14" s="10" t="s">
        <v>16</v>
      </c>
      <c r="D14" s="10">
        <v>100</v>
      </c>
      <c r="E14" s="11">
        <v>27499.508355000002</v>
      </c>
      <c r="F14" s="11">
        <v>30712.177367957313</v>
      </c>
      <c r="I14" s="23" t="s">
        <v>23</v>
      </c>
      <c r="J14" s="23" t="s">
        <v>24</v>
      </c>
      <c r="K14" s="23" t="s">
        <v>12</v>
      </c>
    </row>
    <row r="15" spans="1:11" ht="15" customHeight="1">
      <c r="A15" s="10" t="s">
        <v>14</v>
      </c>
      <c r="B15" s="10" t="s">
        <v>22</v>
      </c>
      <c r="C15" s="10" t="s">
        <v>19</v>
      </c>
      <c r="D15" s="10">
        <v>140</v>
      </c>
      <c r="E15" s="11">
        <v>29993.529048</v>
      </c>
      <c r="F15" s="11">
        <v>32726.657776180989</v>
      </c>
      <c r="I15" s="10" t="s">
        <v>15</v>
      </c>
      <c r="J15" s="10" t="s">
        <v>21</v>
      </c>
      <c r="K15" s="10">
        <f>SUMIFS(E:E,B:B,I15,C:C,J15)</f>
        <v>86822.186637599982</v>
      </c>
    </row>
    <row r="16" spans="1:11" ht="15" customHeight="1">
      <c r="A16" s="10" t="s">
        <v>14</v>
      </c>
      <c r="B16" s="10" t="s">
        <v>15</v>
      </c>
      <c r="C16" s="10" t="s">
        <v>21</v>
      </c>
      <c r="D16" s="10">
        <v>108</v>
      </c>
      <c r="E16" s="11">
        <v>34682.76271979999</v>
      </c>
      <c r="F16" s="11">
        <v>35738.658109519878</v>
      </c>
      <c r="I16" s="10" t="s">
        <v>18</v>
      </c>
      <c r="J16" s="10" t="s">
        <v>21</v>
      </c>
      <c r="K16" s="10">
        <f t="shared" ref="K16:K18" si="1">SUMIFS(E:E,B:B,I16,C:C,J16)</f>
        <v>84271.490399999995</v>
      </c>
    </row>
    <row r="17" spans="1:11" ht="15" customHeight="1">
      <c r="A17" s="10" t="s">
        <v>14</v>
      </c>
      <c r="B17" s="10" t="s">
        <v>18</v>
      </c>
      <c r="C17" s="10" t="s">
        <v>16</v>
      </c>
      <c r="D17" s="10">
        <v>72</v>
      </c>
      <c r="E17" s="11">
        <v>12492.951721200001</v>
      </c>
      <c r="F17" s="11">
        <v>11098.923925167686</v>
      </c>
      <c r="I17" s="10" t="s">
        <v>20</v>
      </c>
      <c r="J17" s="10" t="s">
        <v>21</v>
      </c>
      <c r="K17" s="10">
        <f t="shared" si="1"/>
        <v>42152.3621136</v>
      </c>
    </row>
    <row r="18" spans="1:11" ht="15" customHeight="1">
      <c r="A18" s="10" t="s">
        <v>14</v>
      </c>
      <c r="B18" s="10" t="s">
        <v>20</v>
      </c>
      <c r="C18" s="10" t="s">
        <v>19</v>
      </c>
      <c r="D18" s="10">
        <v>32</v>
      </c>
      <c r="E18" s="11">
        <v>30449.307249599999</v>
      </c>
      <c r="F18" s="11">
        <v>29398.00409440554</v>
      </c>
      <c r="I18" s="10" t="s">
        <v>22</v>
      </c>
      <c r="J18" s="10" t="s">
        <v>21</v>
      </c>
      <c r="K18" s="10">
        <f t="shared" si="1"/>
        <v>8325.0737135999989</v>
      </c>
    </row>
    <row r="19" spans="1:11" ht="15" customHeight="1">
      <c r="A19" s="10" t="s">
        <v>14</v>
      </c>
      <c r="B19" s="10" t="s">
        <v>15</v>
      </c>
      <c r="C19" s="10" t="s">
        <v>21</v>
      </c>
      <c r="D19" s="10">
        <v>12</v>
      </c>
      <c r="E19" s="11">
        <v>12125.302507799999</v>
      </c>
      <c r="F19" s="11">
        <v>11641.50878367756</v>
      </c>
    </row>
    <row r="20" spans="1:11" ht="15" customHeight="1">
      <c r="A20" s="10" t="s">
        <v>14</v>
      </c>
      <c r="B20" s="10" t="s">
        <v>20</v>
      </c>
      <c r="C20" s="10" t="s">
        <v>16</v>
      </c>
      <c r="D20" s="10">
        <v>20</v>
      </c>
      <c r="E20" s="11">
        <v>22920.955196999999</v>
      </c>
      <c r="F20" s="11">
        <v>22707.050330980284</v>
      </c>
    </row>
    <row r="21" spans="1:11" ht="15" customHeight="1">
      <c r="A21" s="10" t="s">
        <v>14</v>
      </c>
      <c r="B21" s="10" t="s">
        <v>15</v>
      </c>
      <c r="C21" s="10" t="s">
        <v>19</v>
      </c>
      <c r="D21" s="10">
        <v>60</v>
      </c>
      <c r="E21" s="11">
        <v>17794.934082</v>
      </c>
      <c r="F21" s="11">
        <v>18667.471284403004</v>
      </c>
    </row>
    <row r="22" spans="1:11" ht="15" customHeight="1">
      <c r="A22" s="10" t="s">
        <v>14</v>
      </c>
      <c r="B22" s="10" t="s">
        <v>22</v>
      </c>
      <c r="C22" s="10" t="s">
        <v>21</v>
      </c>
      <c r="D22" s="10">
        <v>24</v>
      </c>
      <c r="E22" s="11">
        <v>8325.0737135999989</v>
      </c>
      <c r="F22" s="11">
        <v>8601.7455508359071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"/>
  <sheetViews>
    <sheetView zoomScale="150" zoomScaleNormal="150" workbookViewId="0">
      <selection activeCell="L4" sqref="L4"/>
    </sheetView>
  </sheetViews>
  <sheetFormatPr baseColWidth="10" defaultColWidth="8.83203125" defaultRowHeight="15" customHeight="1"/>
  <cols>
    <col min="1" max="3" width="9" style="6"/>
    <col min="4" max="4" width="9.1640625" style="6" bestFit="1" customWidth="1"/>
    <col min="5" max="6" width="10.33203125" style="6" bestFit="1" customWidth="1"/>
    <col min="7" max="10" width="5.6640625" style="6" customWidth="1"/>
    <col min="11" max="204" width="9" style="6"/>
    <col min="205" max="205" width="3" style="6" customWidth="1"/>
    <col min="206" max="206" width="12.1640625" style="6" bestFit="1" customWidth="1"/>
    <col min="207" max="207" width="9.6640625" style="6" bestFit="1" customWidth="1"/>
    <col min="208" max="209" width="7.5" style="6" bestFit="1" customWidth="1"/>
    <col min="210" max="210" width="4.6640625" style="6" bestFit="1" customWidth="1"/>
    <col min="211" max="214" width="9" style="6"/>
    <col min="215" max="215" width="11.1640625" style="6" customWidth="1"/>
    <col min="216" max="216" width="11.1640625" style="6" bestFit="1" customWidth="1"/>
    <col min="217" max="218" width="8" style="6" bestFit="1" customWidth="1"/>
    <col min="219" max="219" width="4.6640625" style="6" bestFit="1" customWidth="1"/>
    <col min="220" max="221" width="11.1640625" style="6" bestFit="1" customWidth="1"/>
    <col min="222" max="460" width="9" style="6"/>
    <col min="461" max="461" width="3" style="6" customWidth="1"/>
    <col min="462" max="462" width="12.1640625" style="6" bestFit="1" customWidth="1"/>
    <col min="463" max="463" width="9.6640625" style="6" bestFit="1" customWidth="1"/>
    <col min="464" max="465" width="7.5" style="6" bestFit="1" customWidth="1"/>
    <col min="466" max="466" width="4.6640625" style="6" bestFit="1" customWidth="1"/>
    <col min="467" max="470" width="9" style="6"/>
    <col min="471" max="471" width="11.1640625" style="6" customWidth="1"/>
    <col min="472" max="472" width="11.1640625" style="6" bestFit="1" customWidth="1"/>
    <col min="473" max="474" width="8" style="6" bestFit="1" customWidth="1"/>
    <col min="475" max="475" width="4.6640625" style="6" bestFit="1" customWidth="1"/>
    <col min="476" max="477" width="11.1640625" style="6" bestFit="1" customWidth="1"/>
    <col min="478" max="716" width="9" style="6"/>
    <col min="717" max="717" width="3" style="6" customWidth="1"/>
    <col min="718" max="718" width="12.1640625" style="6" bestFit="1" customWidth="1"/>
    <col min="719" max="719" width="9.6640625" style="6" bestFit="1" customWidth="1"/>
    <col min="720" max="721" width="7.5" style="6" bestFit="1" customWidth="1"/>
    <col min="722" max="722" width="4.6640625" style="6" bestFit="1" customWidth="1"/>
    <col min="723" max="726" width="9" style="6"/>
    <col min="727" max="727" width="11.1640625" style="6" customWidth="1"/>
    <col min="728" max="728" width="11.1640625" style="6" bestFit="1" customWidth="1"/>
    <col min="729" max="730" width="8" style="6" bestFit="1" customWidth="1"/>
    <col min="731" max="731" width="4.6640625" style="6" bestFit="1" customWidth="1"/>
    <col min="732" max="733" width="11.1640625" style="6" bestFit="1" customWidth="1"/>
    <col min="734" max="972" width="9" style="6"/>
    <col min="973" max="973" width="3" style="6" customWidth="1"/>
    <col min="974" max="974" width="12.1640625" style="6" bestFit="1" customWidth="1"/>
    <col min="975" max="975" width="9.6640625" style="6" bestFit="1" customWidth="1"/>
    <col min="976" max="977" width="7.5" style="6" bestFit="1" customWidth="1"/>
    <col min="978" max="978" width="4.6640625" style="6" bestFit="1" customWidth="1"/>
    <col min="979" max="982" width="9" style="6"/>
    <col min="983" max="983" width="11.1640625" style="6" customWidth="1"/>
    <col min="984" max="984" width="11.1640625" style="6" bestFit="1" customWidth="1"/>
    <col min="985" max="986" width="8" style="6" bestFit="1" customWidth="1"/>
    <col min="987" max="987" width="4.6640625" style="6" bestFit="1" customWidth="1"/>
    <col min="988" max="989" width="11.1640625" style="6" bestFit="1" customWidth="1"/>
    <col min="990" max="1228" width="9" style="6"/>
    <col min="1229" max="1229" width="3" style="6" customWidth="1"/>
    <col min="1230" max="1230" width="12.1640625" style="6" bestFit="1" customWidth="1"/>
    <col min="1231" max="1231" width="9.6640625" style="6" bestFit="1" customWidth="1"/>
    <col min="1232" max="1233" width="7.5" style="6" bestFit="1" customWidth="1"/>
    <col min="1234" max="1234" width="4.6640625" style="6" bestFit="1" customWidth="1"/>
    <col min="1235" max="1238" width="9" style="6"/>
    <col min="1239" max="1239" width="11.1640625" style="6" customWidth="1"/>
    <col min="1240" max="1240" width="11.1640625" style="6" bestFit="1" customWidth="1"/>
    <col min="1241" max="1242" width="8" style="6" bestFit="1" customWidth="1"/>
    <col min="1243" max="1243" width="4.6640625" style="6" bestFit="1" customWidth="1"/>
    <col min="1244" max="1245" width="11.1640625" style="6" bestFit="1" customWidth="1"/>
    <col min="1246" max="1484" width="9" style="6"/>
    <col min="1485" max="1485" width="3" style="6" customWidth="1"/>
    <col min="1486" max="1486" width="12.1640625" style="6" bestFit="1" customWidth="1"/>
    <col min="1487" max="1487" width="9.6640625" style="6" bestFit="1" customWidth="1"/>
    <col min="1488" max="1489" width="7.5" style="6" bestFit="1" customWidth="1"/>
    <col min="1490" max="1490" width="4.6640625" style="6" bestFit="1" customWidth="1"/>
    <col min="1491" max="1494" width="9" style="6"/>
    <col min="1495" max="1495" width="11.1640625" style="6" customWidth="1"/>
    <col min="1496" max="1496" width="11.1640625" style="6" bestFit="1" customWidth="1"/>
    <col min="1497" max="1498" width="8" style="6" bestFit="1" customWidth="1"/>
    <col min="1499" max="1499" width="4.6640625" style="6" bestFit="1" customWidth="1"/>
    <col min="1500" max="1501" width="11.1640625" style="6" bestFit="1" customWidth="1"/>
    <col min="1502" max="1740" width="9" style="6"/>
    <col min="1741" max="1741" width="3" style="6" customWidth="1"/>
    <col min="1742" max="1742" width="12.1640625" style="6" bestFit="1" customWidth="1"/>
    <col min="1743" max="1743" width="9.6640625" style="6" bestFit="1" customWidth="1"/>
    <col min="1744" max="1745" width="7.5" style="6" bestFit="1" customWidth="1"/>
    <col min="1746" max="1746" width="4.6640625" style="6" bestFit="1" customWidth="1"/>
    <col min="1747" max="1750" width="9" style="6"/>
    <col min="1751" max="1751" width="11.1640625" style="6" customWidth="1"/>
    <col min="1752" max="1752" width="11.1640625" style="6" bestFit="1" customWidth="1"/>
    <col min="1753" max="1754" width="8" style="6" bestFit="1" customWidth="1"/>
    <col min="1755" max="1755" width="4.6640625" style="6" bestFit="1" customWidth="1"/>
    <col min="1756" max="1757" width="11.1640625" style="6" bestFit="1" customWidth="1"/>
    <col min="1758" max="1996" width="9" style="6"/>
    <col min="1997" max="1997" width="3" style="6" customWidth="1"/>
    <col min="1998" max="1998" width="12.1640625" style="6" bestFit="1" customWidth="1"/>
    <col min="1999" max="1999" width="9.6640625" style="6" bestFit="1" customWidth="1"/>
    <col min="2000" max="2001" width="7.5" style="6" bestFit="1" customWidth="1"/>
    <col min="2002" max="2002" width="4.6640625" style="6" bestFit="1" customWidth="1"/>
    <col min="2003" max="2006" width="9" style="6"/>
    <col min="2007" max="2007" width="11.1640625" style="6" customWidth="1"/>
    <col min="2008" max="2008" width="11.1640625" style="6" bestFit="1" customWidth="1"/>
    <col min="2009" max="2010" width="8" style="6" bestFit="1" customWidth="1"/>
    <col min="2011" max="2011" width="4.6640625" style="6" bestFit="1" customWidth="1"/>
    <col min="2012" max="2013" width="11.1640625" style="6" bestFit="1" customWidth="1"/>
    <col min="2014" max="2252" width="9" style="6"/>
    <col min="2253" max="2253" width="3" style="6" customWidth="1"/>
    <col min="2254" max="2254" width="12.1640625" style="6" bestFit="1" customWidth="1"/>
    <col min="2255" max="2255" width="9.6640625" style="6" bestFit="1" customWidth="1"/>
    <col min="2256" max="2257" width="7.5" style="6" bestFit="1" customWidth="1"/>
    <col min="2258" max="2258" width="4.6640625" style="6" bestFit="1" customWidth="1"/>
    <col min="2259" max="2262" width="9" style="6"/>
    <col min="2263" max="2263" width="11.1640625" style="6" customWidth="1"/>
    <col min="2264" max="2264" width="11.1640625" style="6" bestFit="1" customWidth="1"/>
    <col min="2265" max="2266" width="8" style="6" bestFit="1" customWidth="1"/>
    <col min="2267" max="2267" width="4.6640625" style="6" bestFit="1" customWidth="1"/>
    <col min="2268" max="2269" width="11.1640625" style="6" bestFit="1" customWidth="1"/>
    <col min="2270" max="2508" width="9" style="6"/>
    <col min="2509" max="2509" width="3" style="6" customWidth="1"/>
    <col min="2510" max="2510" width="12.1640625" style="6" bestFit="1" customWidth="1"/>
    <col min="2511" max="2511" width="9.6640625" style="6" bestFit="1" customWidth="1"/>
    <col min="2512" max="2513" width="7.5" style="6" bestFit="1" customWidth="1"/>
    <col min="2514" max="2514" width="4.6640625" style="6" bestFit="1" customWidth="1"/>
    <col min="2515" max="2518" width="9" style="6"/>
    <col min="2519" max="2519" width="11.1640625" style="6" customWidth="1"/>
    <col min="2520" max="2520" width="11.1640625" style="6" bestFit="1" customWidth="1"/>
    <col min="2521" max="2522" width="8" style="6" bestFit="1" customWidth="1"/>
    <col min="2523" max="2523" width="4.6640625" style="6" bestFit="1" customWidth="1"/>
    <col min="2524" max="2525" width="11.1640625" style="6" bestFit="1" customWidth="1"/>
    <col min="2526" max="2764" width="9" style="6"/>
    <col min="2765" max="2765" width="3" style="6" customWidth="1"/>
    <col min="2766" max="2766" width="12.1640625" style="6" bestFit="1" customWidth="1"/>
    <col min="2767" max="2767" width="9.6640625" style="6" bestFit="1" customWidth="1"/>
    <col min="2768" max="2769" width="7.5" style="6" bestFit="1" customWidth="1"/>
    <col min="2770" max="2770" width="4.6640625" style="6" bestFit="1" customWidth="1"/>
    <col min="2771" max="2774" width="9" style="6"/>
    <col min="2775" max="2775" width="11.1640625" style="6" customWidth="1"/>
    <col min="2776" max="2776" width="11.1640625" style="6" bestFit="1" customWidth="1"/>
    <col min="2777" max="2778" width="8" style="6" bestFit="1" customWidth="1"/>
    <col min="2779" max="2779" width="4.6640625" style="6" bestFit="1" customWidth="1"/>
    <col min="2780" max="2781" width="11.1640625" style="6" bestFit="1" customWidth="1"/>
    <col min="2782" max="3020" width="9" style="6"/>
    <col min="3021" max="3021" width="3" style="6" customWidth="1"/>
    <col min="3022" max="3022" width="12.1640625" style="6" bestFit="1" customWidth="1"/>
    <col min="3023" max="3023" width="9.6640625" style="6" bestFit="1" customWidth="1"/>
    <col min="3024" max="3025" width="7.5" style="6" bestFit="1" customWidth="1"/>
    <col min="3026" max="3026" width="4.6640625" style="6" bestFit="1" customWidth="1"/>
    <col min="3027" max="3030" width="9" style="6"/>
    <col min="3031" max="3031" width="11.1640625" style="6" customWidth="1"/>
    <col min="3032" max="3032" width="11.1640625" style="6" bestFit="1" customWidth="1"/>
    <col min="3033" max="3034" width="8" style="6" bestFit="1" customWidth="1"/>
    <col min="3035" max="3035" width="4.6640625" style="6" bestFit="1" customWidth="1"/>
    <col min="3036" max="3037" width="11.1640625" style="6" bestFit="1" customWidth="1"/>
    <col min="3038" max="3276" width="9" style="6"/>
    <col min="3277" max="3277" width="3" style="6" customWidth="1"/>
    <col min="3278" max="3278" width="12.1640625" style="6" bestFit="1" customWidth="1"/>
    <col min="3279" max="3279" width="9.6640625" style="6" bestFit="1" customWidth="1"/>
    <col min="3280" max="3281" width="7.5" style="6" bestFit="1" customWidth="1"/>
    <col min="3282" max="3282" width="4.6640625" style="6" bestFit="1" customWidth="1"/>
    <col min="3283" max="3286" width="9" style="6"/>
    <col min="3287" max="3287" width="11.1640625" style="6" customWidth="1"/>
    <col min="3288" max="3288" width="11.1640625" style="6" bestFit="1" customWidth="1"/>
    <col min="3289" max="3290" width="8" style="6" bestFit="1" customWidth="1"/>
    <col min="3291" max="3291" width="4.6640625" style="6" bestFit="1" customWidth="1"/>
    <col min="3292" max="3293" width="11.1640625" style="6" bestFit="1" customWidth="1"/>
    <col min="3294" max="3532" width="9" style="6"/>
    <col min="3533" max="3533" width="3" style="6" customWidth="1"/>
    <col min="3534" max="3534" width="12.1640625" style="6" bestFit="1" customWidth="1"/>
    <col min="3535" max="3535" width="9.6640625" style="6" bestFit="1" customWidth="1"/>
    <col min="3536" max="3537" width="7.5" style="6" bestFit="1" customWidth="1"/>
    <col min="3538" max="3538" width="4.6640625" style="6" bestFit="1" customWidth="1"/>
    <col min="3539" max="3542" width="9" style="6"/>
    <col min="3543" max="3543" width="11.1640625" style="6" customWidth="1"/>
    <col min="3544" max="3544" width="11.1640625" style="6" bestFit="1" customWidth="1"/>
    <col min="3545" max="3546" width="8" style="6" bestFit="1" customWidth="1"/>
    <col min="3547" max="3547" width="4.6640625" style="6" bestFit="1" customWidth="1"/>
    <col min="3548" max="3549" width="11.1640625" style="6" bestFit="1" customWidth="1"/>
    <col min="3550" max="3788" width="9" style="6"/>
    <col min="3789" max="3789" width="3" style="6" customWidth="1"/>
    <col min="3790" max="3790" width="12.1640625" style="6" bestFit="1" customWidth="1"/>
    <col min="3791" max="3791" width="9.6640625" style="6" bestFit="1" customWidth="1"/>
    <col min="3792" max="3793" width="7.5" style="6" bestFit="1" customWidth="1"/>
    <col min="3794" max="3794" width="4.6640625" style="6" bestFit="1" customWidth="1"/>
    <col min="3795" max="3798" width="9" style="6"/>
    <col min="3799" max="3799" width="11.1640625" style="6" customWidth="1"/>
    <col min="3800" max="3800" width="11.1640625" style="6" bestFit="1" customWidth="1"/>
    <col min="3801" max="3802" width="8" style="6" bestFit="1" customWidth="1"/>
    <col min="3803" max="3803" width="4.6640625" style="6" bestFit="1" customWidth="1"/>
    <col min="3804" max="3805" width="11.1640625" style="6" bestFit="1" customWidth="1"/>
    <col min="3806" max="4044" width="9" style="6"/>
    <col min="4045" max="4045" width="3" style="6" customWidth="1"/>
    <col min="4046" max="4046" width="12.1640625" style="6" bestFit="1" customWidth="1"/>
    <col min="4047" max="4047" width="9.6640625" style="6" bestFit="1" customWidth="1"/>
    <col min="4048" max="4049" width="7.5" style="6" bestFit="1" customWidth="1"/>
    <col min="4050" max="4050" width="4.6640625" style="6" bestFit="1" customWidth="1"/>
    <col min="4051" max="4054" width="9" style="6"/>
    <col min="4055" max="4055" width="11.1640625" style="6" customWidth="1"/>
    <col min="4056" max="4056" width="11.1640625" style="6" bestFit="1" customWidth="1"/>
    <col min="4057" max="4058" width="8" style="6" bestFit="1" customWidth="1"/>
    <col min="4059" max="4059" width="4.6640625" style="6" bestFit="1" customWidth="1"/>
    <col min="4060" max="4061" width="11.1640625" style="6" bestFit="1" customWidth="1"/>
    <col min="4062" max="4300" width="9" style="6"/>
    <col min="4301" max="4301" width="3" style="6" customWidth="1"/>
    <col min="4302" max="4302" width="12.1640625" style="6" bestFit="1" customWidth="1"/>
    <col min="4303" max="4303" width="9.6640625" style="6" bestFit="1" customWidth="1"/>
    <col min="4304" max="4305" width="7.5" style="6" bestFit="1" customWidth="1"/>
    <col min="4306" max="4306" width="4.6640625" style="6" bestFit="1" customWidth="1"/>
    <col min="4307" max="4310" width="9" style="6"/>
    <col min="4311" max="4311" width="11.1640625" style="6" customWidth="1"/>
    <col min="4312" max="4312" width="11.1640625" style="6" bestFit="1" customWidth="1"/>
    <col min="4313" max="4314" width="8" style="6" bestFit="1" customWidth="1"/>
    <col min="4315" max="4315" width="4.6640625" style="6" bestFit="1" customWidth="1"/>
    <col min="4316" max="4317" width="11.1640625" style="6" bestFit="1" customWidth="1"/>
    <col min="4318" max="4556" width="9" style="6"/>
    <col min="4557" max="4557" width="3" style="6" customWidth="1"/>
    <col min="4558" max="4558" width="12.1640625" style="6" bestFit="1" customWidth="1"/>
    <col min="4559" max="4559" width="9.6640625" style="6" bestFit="1" customWidth="1"/>
    <col min="4560" max="4561" width="7.5" style="6" bestFit="1" customWidth="1"/>
    <col min="4562" max="4562" width="4.6640625" style="6" bestFit="1" customWidth="1"/>
    <col min="4563" max="4566" width="9" style="6"/>
    <col min="4567" max="4567" width="11.1640625" style="6" customWidth="1"/>
    <col min="4568" max="4568" width="11.1640625" style="6" bestFit="1" customWidth="1"/>
    <col min="4569" max="4570" width="8" style="6" bestFit="1" customWidth="1"/>
    <col min="4571" max="4571" width="4.6640625" style="6" bestFit="1" customWidth="1"/>
    <col min="4572" max="4573" width="11.1640625" style="6" bestFit="1" customWidth="1"/>
    <col min="4574" max="4812" width="9" style="6"/>
    <col min="4813" max="4813" width="3" style="6" customWidth="1"/>
    <col min="4814" max="4814" width="12.1640625" style="6" bestFit="1" customWidth="1"/>
    <col min="4815" max="4815" width="9.6640625" style="6" bestFit="1" customWidth="1"/>
    <col min="4816" max="4817" width="7.5" style="6" bestFit="1" customWidth="1"/>
    <col min="4818" max="4818" width="4.6640625" style="6" bestFit="1" customWidth="1"/>
    <col min="4819" max="4822" width="9" style="6"/>
    <col min="4823" max="4823" width="11.1640625" style="6" customWidth="1"/>
    <col min="4824" max="4824" width="11.1640625" style="6" bestFit="1" customWidth="1"/>
    <col min="4825" max="4826" width="8" style="6" bestFit="1" customWidth="1"/>
    <col min="4827" max="4827" width="4.6640625" style="6" bestFit="1" customWidth="1"/>
    <col min="4828" max="4829" width="11.1640625" style="6" bestFit="1" customWidth="1"/>
    <col min="4830" max="5068" width="9" style="6"/>
    <col min="5069" max="5069" width="3" style="6" customWidth="1"/>
    <col min="5070" max="5070" width="12.1640625" style="6" bestFit="1" customWidth="1"/>
    <col min="5071" max="5071" width="9.6640625" style="6" bestFit="1" customWidth="1"/>
    <col min="5072" max="5073" width="7.5" style="6" bestFit="1" customWidth="1"/>
    <col min="5074" max="5074" width="4.6640625" style="6" bestFit="1" customWidth="1"/>
    <col min="5075" max="5078" width="9" style="6"/>
    <col min="5079" max="5079" width="11.1640625" style="6" customWidth="1"/>
    <col min="5080" max="5080" width="11.1640625" style="6" bestFit="1" customWidth="1"/>
    <col min="5081" max="5082" width="8" style="6" bestFit="1" customWidth="1"/>
    <col min="5083" max="5083" width="4.6640625" style="6" bestFit="1" customWidth="1"/>
    <col min="5084" max="5085" width="11.1640625" style="6" bestFit="1" customWidth="1"/>
    <col min="5086" max="5324" width="9" style="6"/>
    <col min="5325" max="5325" width="3" style="6" customWidth="1"/>
    <col min="5326" max="5326" width="12.1640625" style="6" bestFit="1" customWidth="1"/>
    <col min="5327" max="5327" width="9.6640625" style="6" bestFit="1" customWidth="1"/>
    <col min="5328" max="5329" width="7.5" style="6" bestFit="1" customWidth="1"/>
    <col min="5330" max="5330" width="4.6640625" style="6" bestFit="1" customWidth="1"/>
    <col min="5331" max="5334" width="9" style="6"/>
    <col min="5335" max="5335" width="11.1640625" style="6" customWidth="1"/>
    <col min="5336" max="5336" width="11.1640625" style="6" bestFit="1" customWidth="1"/>
    <col min="5337" max="5338" width="8" style="6" bestFit="1" customWidth="1"/>
    <col min="5339" max="5339" width="4.6640625" style="6" bestFit="1" customWidth="1"/>
    <col min="5340" max="5341" width="11.1640625" style="6" bestFit="1" customWidth="1"/>
    <col min="5342" max="5580" width="9" style="6"/>
    <col min="5581" max="5581" width="3" style="6" customWidth="1"/>
    <col min="5582" max="5582" width="12.1640625" style="6" bestFit="1" customWidth="1"/>
    <col min="5583" max="5583" width="9.6640625" style="6" bestFit="1" customWidth="1"/>
    <col min="5584" max="5585" width="7.5" style="6" bestFit="1" customWidth="1"/>
    <col min="5586" max="5586" width="4.6640625" style="6" bestFit="1" customWidth="1"/>
    <col min="5587" max="5590" width="9" style="6"/>
    <col min="5591" max="5591" width="11.1640625" style="6" customWidth="1"/>
    <col min="5592" max="5592" width="11.1640625" style="6" bestFit="1" customWidth="1"/>
    <col min="5593" max="5594" width="8" style="6" bestFit="1" customWidth="1"/>
    <col min="5595" max="5595" width="4.6640625" style="6" bestFit="1" customWidth="1"/>
    <col min="5596" max="5597" width="11.1640625" style="6" bestFit="1" customWidth="1"/>
    <col min="5598" max="5836" width="9" style="6"/>
    <col min="5837" max="5837" width="3" style="6" customWidth="1"/>
    <col min="5838" max="5838" width="12.1640625" style="6" bestFit="1" customWidth="1"/>
    <col min="5839" max="5839" width="9.6640625" style="6" bestFit="1" customWidth="1"/>
    <col min="5840" max="5841" width="7.5" style="6" bestFit="1" customWidth="1"/>
    <col min="5842" max="5842" width="4.6640625" style="6" bestFit="1" customWidth="1"/>
    <col min="5843" max="5846" width="9" style="6"/>
    <col min="5847" max="5847" width="11.1640625" style="6" customWidth="1"/>
    <col min="5848" max="5848" width="11.1640625" style="6" bestFit="1" customWidth="1"/>
    <col min="5849" max="5850" width="8" style="6" bestFit="1" customWidth="1"/>
    <col min="5851" max="5851" width="4.6640625" style="6" bestFit="1" customWidth="1"/>
    <col min="5852" max="5853" width="11.1640625" style="6" bestFit="1" customWidth="1"/>
    <col min="5854" max="6092" width="9" style="6"/>
    <col min="6093" max="6093" width="3" style="6" customWidth="1"/>
    <col min="6094" max="6094" width="12.1640625" style="6" bestFit="1" customWidth="1"/>
    <col min="6095" max="6095" width="9.6640625" style="6" bestFit="1" customWidth="1"/>
    <col min="6096" max="6097" width="7.5" style="6" bestFit="1" customWidth="1"/>
    <col min="6098" max="6098" width="4.6640625" style="6" bestFit="1" customWidth="1"/>
    <col min="6099" max="6102" width="9" style="6"/>
    <col min="6103" max="6103" width="11.1640625" style="6" customWidth="1"/>
    <col min="6104" max="6104" width="11.1640625" style="6" bestFit="1" customWidth="1"/>
    <col min="6105" max="6106" width="8" style="6" bestFit="1" customWidth="1"/>
    <col min="6107" max="6107" width="4.6640625" style="6" bestFit="1" customWidth="1"/>
    <col min="6108" max="6109" width="11.1640625" style="6" bestFit="1" customWidth="1"/>
    <col min="6110" max="6348" width="9" style="6"/>
    <col min="6349" max="6349" width="3" style="6" customWidth="1"/>
    <col min="6350" max="6350" width="12.1640625" style="6" bestFit="1" customWidth="1"/>
    <col min="6351" max="6351" width="9.6640625" style="6" bestFit="1" customWidth="1"/>
    <col min="6352" max="6353" width="7.5" style="6" bestFit="1" customWidth="1"/>
    <col min="6354" max="6354" width="4.6640625" style="6" bestFit="1" customWidth="1"/>
    <col min="6355" max="6358" width="9" style="6"/>
    <col min="6359" max="6359" width="11.1640625" style="6" customWidth="1"/>
    <col min="6360" max="6360" width="11.1640625" style="6" bestFit="1" customWidth="1"/>
    <col min="6361" max="6362" width="8" style="6" bestFit="1" customWidth="1"/>
    <col min="6363" max="6363" width="4.6640625" style="6" bestFit="1" customWidth="1"/>
    <col min="6364" max="6365" width="11.1640625" style="6" bestFit="1" customWidth="1"/>
    <col min="6366" max="6604" width="9" style="6"/>
    <col min="6605" max="6605" width="3" style="6" customWidth="1"/>
    <col min="6606" max="6606" width="12.1640625" style="6" bestFit="1" customWidth="1"/>
    <col min="6607" max="6607" width="9.6640625" style="6" bestFit="1" customWidth="1"/>
    <col min="6608" max="6609" width="7.5" style="6" bestFit="1" customWidth="1"/>
    <col min="6610" max="6610" width="4.6640625" style="6" bestFit="1" customWidth="1"/>
    <col min="6611" max="6614" width="9" style="6"/>
    <col min="6615" max="6615" width="11.1640625" style="6" customWidth="1"/>
    <col min="6616" max="6616" width="11.1640625" style="6" bestFit="1" customWidth="1"/>
    <col min="6617" max="6618" width="8" style="6" bestFit="1" customWidth="1"/>
    <col min="6619" max="6619" width="4.6640625" style="6" bestFit="1" customWidth="1"/>
    <col min="6620" max="6621" width="11.1640625" style="6" bestFit="1" customWidth="1"/>
    <col min="6622" max="6860" width="9" style="6"/>
    <col min="6861" max="6861" width="3" style="6" customWidth="1"/>
    <col min="6862" max="6862" width="12.1640625" style="6" bestFit="1" customWidth="1"/>
    <col min="6863" max="6863" width="9.6640625" style="6" bestFit="1" customWidth="1"/>
    <col min="6864" max="6865" width="7.5" style="6" bestFit="1" customWidth="1"/>
    <col min="6866" max="6866" width="4.6640625" style="6" bestFit="1" customWidth="1"/>
    <col min="6867" max="6870" width="9" style="6"/>
    <col min="6871" max="6871" width="11.1640625" style="6" customWidth="1"/>
    <col min="6872" max="6872" width="11.1640625" style="6" bestFit="1" customWidth="1"/>
    <col min="6873" max="6874" width="8" style="6" bestFit="1" customWidth="1"/>
    <col min="6875" max="6875" width="4.6640625" style="6" bestFit="1" customWidth="1"/>
    <col min="6876" max="6877" width="11.1640625" style="6" bestFit="1" customWidth="1"/>
    <col min="6878" max="7116" width="9" style="6"/>
    <col min="7117" max="7117" width="3" style="6" customWidth="1"/>
    <col min="7118" max="7118" width="12.1640625" style="6" bestFit="1" customWidth="1"/>
    <col min="7119" max="7119" width="9.6640625" style="6" bestFit="1" customWidth="1"/>
    <col min="7120" max="7121" width="7.5" style="6" bestFit="1" customWidth="1"/>
    <col min="7122" max="7122" width="4.6640625" style="6" bestFit="1" customWidth="1"/>
    <col min="7123" max="7126" width="9" style="6"/>
    <col min="7127" max="7127" width="11.1640625" style="6" customWidth="1"/>
    <col min="7128" max="7128" width="11.1640625" style="6" bestFit="1" customWidth="1"/>
    <col min="7129" max="7130" width="8" style="6" bestFit="1" customWidth="1"/>
    <col min="7131" max="7131" width="4.6640625" style="6" bestFit="1" customWidth="1"/>
    <col min="7132" max="7133" width="11.1640625" style="6" bestFit="1" customWidth="1"/>
    <col min="7134" max="7372" width="9" style="6"/>
    <col min="7373" max="7373" width="3" style="6" customWidth="1"/>
    <col min="7374" max="7374" width="12.1640625" style="6" bestFit="1" customWidth="1"/>
    <col min="7375" max="7375" width="9.6640625" style="6" bestFit="1" customWidth="1"/>
    <col min="7376" max="7377" width="7.5" style="6" bestFit="1" customWidth="1"/>
    <col min="7378" max="7378" width="4.6640625" style="6" bestFit="1" customWidth="1"/>
    <col min="7379" max="7382" width="9" style="6"/>
    <col min="7383" max="7383" width="11.1640625" style="6" customWidth="1"/>
    <col min="7384" max="7384" width="11.1640625" style="6" bestFit="1" customWidth="1"/>
    <col min="7385" max="7386" width="8" style="6" bestFit="1" customWidth="1"/>
    <col min="7387" max="7387" width="4.6640625" style="6" bestFit="1" customWidth="1"/>
    <col min="7388" max="7389" width="11.1640625" style="6" bestFit="1" customWidth="1"/>
    <col min="7390" max="7628" width="9" style="6"/>
    <col min="7629" max="7629" width="3" style="6" customWidth="1"/>
    <col min="7630" max="7630" width="12.1640625" style="6" bestFit="1" customWidth="1"/>
    <col min="7631" max="7631" width="9.6640625" style="6" bestFit="1" customWidth="1"/>
    <col min="7632" max="7633" width="7.5" style="6" bestFit="1" customWidth="1"/>
    <col min="7634" max="7634" width="4.6640625" style="6" bestFit="1" customWidth="1"/>
    <col min="7635" max="7638" width="9" style="6"/>
    <col min="7639" max="7639" width="11.1640625" style="6" customWidth="1"/>
    <col min="7640" max="7640" width="11.1640625" style="6" bestFit="1" customWidth="1"/>
    <col min="7641" max="7642" width="8" style="6" bestFit="1" customWidth="1"/>
    <col min="7643" max="7643" width="4.6640625" style="6" bestFit="1" customWidth="1"/>
    <col min="7644" max="7645" width="11.1640625" style="6" bestFit="1" customWidth="1"/>
    <col min="7646" max="7884" width="9" style="6"/>
    <col min="7885" max="7885" width="3" style="6" customWidth="1"/>
    <col min="7886" max="7886" width="12.1640625" style="6" bestFit="1" customWidth="1"/>
    <col min="7887" max="7887" width="9.6640625" style="6" bestFit="1" customWidth="1"/>
    <col min="7888" max="7889" width="7.5" style="6" bestFit="1" customWidth="1"/>
    <col min="7890" max="7890" width="4.6640625" style="6" bestFit="1" customWidth="1"/>
    <col min="7891" max="7894" width="9" style="6"/>
    <col min="7895" max="7895" width="11.1640625" style="6" customWidth="1"/>
    <col min="7896" max="7896" width="11.1640625" style="6" bestFit="1" customWidth="1"/>
    <col min="7897" max="7898" width="8" style="6" bestFit="1" customWidth="1"/>
    <col min="7899" max="7899" width="4.6640625" style="6" bestFit="1" customWidth="1"/>
    <col min="7900" max="7901" width="11.1640625" style="6" bestFit="1" customWidth="1"/>
    <col min="7902" max="8140" width="9" style="6"/>
    <col min="8141" max="8141" width="3" style="6" customWidth="1"/>
    <col min="8142" max="8142" width="12.1640625" style="6" bestFit="1" customWidth="1"/>
    <col min="8143" max="8143" width="9.6640625" style="6" bestFit="1" customWidth="1"/>
    <col min="8144" max="8145" width="7.5" style="6" bestFit="1" customWidth="1"/>
    <col min="8146" max="8146" width="4.6640625" style="6" bestFit="1" customWidth="1"/>
    <col min="8147" max="8150" width="9" style="6"/>
    <col min="8151" max="8151" width="11.1640625" style="6" customWidth="1"/>
    <col min="8152" max="8152" width="11.1640625" style="6" bestFit="1" customWidth="1"/>
    <col min="8153" max="8154" width="8" style="6" bestFit="1" customWidth="1"/>
    <col min="8155" max="8155" width="4.6640625" style="6" bestFit="1" customWidth="1"/>
    <col min="8156" max="8157" width="11.1640625" style="6" bestFit="1" customWidth="1"/>
    <col min="8158" max="8396" width="9" style="6"/>
    <col min="8397" max="8397" width="3" style="6" customWidth="1"/>
    <col min="8398" max="8398" width="12.1640625" style="6" bestFit="1" customWidth="1"/>
    <col min="8399" max="8399" width="9.6640625" style="6" bestFit="1" customWidth="1"/>
    <col min="8400" max="8401" width="7.5" style="6" bestFit="1" customWidth="1"/>
    <col min="8402" max="8402" width="4.6640625" style="6" bestFit="1" customWidth="1"/>
    <col min="8403" max="8406" width="9" style="6"/>
    <col min="8407" max="8407" width="11.1640625" style="6" customWidth="1"/>
    <col min="8408" max="8408" width="11.1640625" style="6" bestFit="1" customWidth="1"/>
    <col min="8409" max="8410" width="8" style="6" bestFit="1" customWidth="1"/>
    <col min="8411" max="8411" width="4.6640625" style="6" bestFit="1" customWidth="1"/>
    <col min="8412" max="8413" width="11.1640625" style="6" bestFit="1" customWidth="1"/>
    <col min="8414" max="8652" width="9" style="6"/>
    <col min="8653" max="8653" width="3" style="6" customWidth="1"/>
    <col min="8654" max="8654" width="12.1640625" style="6" bestFit="1" customWidth="1"/>
    <col min="8655" max="8655" width="9.6640625" style="6" bestFit="1" customWidth="1"/>
    <col min="8656" max="8657" width="7.5" style="6" bestFit="1" customWidth="1"/>
    <col min="8658" max="8658" width="4.6640625" style="6" bestFit="1" customWidth="1"/>
    <col min="8659" max="8662" width="9" style="6"/>
    <col min="8663" max="8663" width="11.1640625" style="6" customWidth="1"/>
    <col min="8664" max="8664" width="11.1640625" style="6" bestFit="1" customWidth="1"/>
    <col min="8665" max="8666" width="8" style="6" bestFit="1" customWidth="1"/>
    <col min="8667" max="8667" width="4.6640625" style="6" bestFit="1" customWidth="1"/>
    <col min="8668" max="8669" width="11.1640625" style="6" bestFit="1" customWidth="1"/>
    <col min="8670" max="8908" width="9" style="6"/>
    <col min="8909" max="8909" width="3" style="6" customWidth="1"/>
    <col min="8910" max="8910" width="12.1640625" style="6" bestFit="1" customWidth="1"/>
    <col min="8911" max="8911" width="9.6640625" style="6" bestFit="1" customWidth="1"/>
    <col min="8912" max="8913" width="7.5" style="6" bestFit="1" customWidth="1"/>
    <col min="8914" max="8914" width="4.6640625" style="6" bestFit="1" customWidth="1"/>
    <col min="8915" max="8918" width="9" style="6"/>
    <col min="8919" max="8919" width="11.1640625" style="6" customWidth="1"/>
    <col min="8920" max="8920" width="11.1640625" style="6" bestFit="1" customWidth="1"/>
    <col min="8921" max="8922" width="8" style="6" bestFit="1" customWidth="1"/>
    <col min="8923" max="8923" width="4.6640625" style="6" bestFit="1" customWidth="1"/>
    <col min="8924" max="8925" width="11.1640625" style="6" bestFit="1" customWidth="1"/>
    <col min="8926" max="9164" width="9" style="6"/>
    <col min="9165" max="9165" width="3" style="6" customWidth="1"/>
    <col min="9166" max="9166" width="12.1640625" style="6" bestFit="1" customWidth="1"/>
    <col min="9167" max="9167" width="9.6640625" style="6" bestFit="1" customWidth="1"/>
    <col min="9168" max="9169" width="7.5" style="6" bestFit="1" customWidth="1"/>
    <col min="9170" max="9170" width="4.6640625" style="6" bestFit="1" customWidth="1"/>
    <col min="9171" max="9174" width="9" style="6"/>
    <col min="9175" max="9175" width="11.1640625" style="6" customWidth="1"/>
    <col min="9176" max="9176" width="11.1640625" style="6" bestFit="1" customWidth="1"/>
    <col min="9177" max="9178" width="8" style="6" bestFit="1" customWidth="1"/>
    <col min="9179" max="9179" width="4.6640625" style="6" bestFit="1" customWidth="1"/>
    <col min="9180" max="9181" width="11.1640625" style="6" bestFit="1" customWidth="1"/>
    <col min="9182" max="9420" width="9" style="6"/>
    <col min="9421" max="9421" width="3" style="6" customWidth="1"/>
    <col min="9422" max="9422" width="12.1640625" style="6" bestFit="1" customWidth="1"/>
    <col min="9423" max="9423" width="9.6640625" style="6" bestFit="1" customWidth="1"/>
    <col min="9424" max="9425" width="7.5" style="6" bestFit="1" customWidth="1"/>
    <col min="9426" max="9426" width="4.6640625" style="6" bestFit="1" customWidth="1"/>
    <col min="9427" max="9430" width="9" style="6"/>
    <col min="9431" max="9431" width="11.1640625" style="6" customWidth="1"/>
    <col min="9432" max="9432" width="11.1640625" style="6" bestFit="1" customWidth="1"/>
    <col min="9433" max="9434" width="8" style="6" bestFit="1" customWidth="1"/>
    <col min="9435" max="9435" width="4.6640625" style="6" bestFit="1" customWidth="1"/>
    <col min="9436" max="9437" width="11.1640625" style="6" bestFit="1" customWidth="1"/>
    <col min="9438" max="9676" width="9" style="6"/>
    <col min="9677" max="9677" width="3" style="6" customWidth="1"/>
    <col min="9678" max="9678" width="12.1640625" style="6" bestFit="1" customWidth="1"/>
    <col min="9679" max="9679" width="9.6640625" style="6" bestFit="1" customWidth="1"/>
    <col min="9680" max="9681" width="7.5" style="6" bestFit="1" customWidth="1"/>
    <col min="9682" max="9682" width="4.6640625" style="6" bestFit="1" customWidth="1"/>
    <col min="9683" max="9686" width="9" style="6"/>
    <col min="9687" max="9687" width="11.1640625" style="6" customWidth="1"/>
    <col min="9688" max="9688" width="11.1640625" style="6" bestFit="1" customWidth="1"/>
    <col min="9689" max="9690" width="8" style="6" bestFit="1" customWidth="1"/>
    <col min="9691" max="9691" width="4.6640625" style="6" bestFit="1" customWidth="1"/>
    <col min="9692" max="9693" width="11.1640625" style="6" bestFit="1" customWidth="1"/>
    <col min="9694" max="9932" width="9" style="6"/>
    <col min="9933" max="9933" width="3" style="6" customWidth="1"/>
    <col min="9934" max="9934" width="12.1640625" style="6" bestFit="1" customWidth="1"/>
    <col min="9935" max="9935" width="9.6640625" style="6" bestFit="1" customWidth="1"/>
    <col min="9936" max="9937" width="7.5" style="6" bestFit="1" customWidth="1"/>
    <col min="9938" max="9938" width="4.6640625" style="6" bestFit="1" customWidth="1"/>
    <col min="9939" max="9942" width="9" style="6"/>
    <col min="9943" max="9943" width="11.1640625" style="6" customWidth="1"/>
    <col min="9944" max="9944" width="11.1640625" style="6" bestFit="1" customWidth="1"/>
    <col min="9945" max="9946" width="8" style="6" bestFit="1" customWidth="1"/>
    <col min="9947" max="9947" width="4.6640625" style="6" bestFit="1" customWidth="1"/>
    <col min="9948" max="9949" width="11.1640625" style="6" bestFit="1" customWidth="1"/>
    <col min="9950" max="10188" width="9" style="6"/>
    <col min="10189" max="10189" width="3" style="6" customWidth="1"/>
    <col min="10190" max="10190" width="12.1640625" style="6" bestFit="1" customWidth="1"/>
    <col min="10191" max="10191" width="9.6640625" style="6" bestFit="1" customWidth="1"/>
    <col min="10192" max="10193" width="7.5" style="6" bestFit="1" customWidth="1"/>
    <col min="10194" max="10194" width="4.6640625" style="6" bestFit="1" customWidth="1"/>
    <col min="10195" max="10198" width="9" style="6"/>
    <col min="10199" max="10199" width="11.1640625" style="6" customWidth="1"/>
    <col min="10200" max="10200" width="11.1640625" style="6" bestFit="1" customWidth="1"/>
    <col min="10201" max="10202" width="8" style="6" bestFit="1" customWidth="1"/>
    <col min="10203" max="10203" width="4.6640625" style="6" bestFit="1" customWidth="1"/>
    <col min="10204" max="10205" width="11.1640625" style="6" bestFit="1" customWidth="1"/>
    <col min="10206" max="10444" width="9" style="6"/>
    <col min="10445" max="10445" width="3" style="6" customWidth="1"/>
    <col min="10446" max="10446" width="12.1640625" style="6" bestFit="1" customWidth="1"/>
    <col min="10447" max="10447" width="9.6640625" style="6" bestFit="1" customWidth="1"/>
    <col min="10448" max="10449" width="7.5" style="6" bestFit="1" customWidth="1"/>
    <col min="10450" max="10450" width="4.6640625" style="6" bestFit="1" customWidth="1"/>
    <col min="10451" max="10454" width="9" style="6"/>
    <col min="10455" max="10455" width="11.1640625" style="6" customWidth="1"/>
    <col min="10456" max="10456" width="11.1640625" style="6" bestFit="1" customWidth="1"/>
    <col min="10457" max="10458" width="8" style="6" bestFit="1" customWidth="1"/>
    <col min="10459" max="10459" width="4.6640625" style="6" bestFit="1" customWidth="1"/>
    <col min="10460" max="10461" width="11.1640625" style="6" bestFit="1" customWidth="1"/>
    <col min="10462" max="10700" width="9" style="6"/>
    <col min="10701" max="10701" width="3" style="6" customWidth="1"/>
    <col min="10702" max="10702" width="12.1640625" style="6" bestFit="1" customWidth="1"/>
    <col min="10703" max="10703" width="9.6640625" style="6" bestFit="1" customWidth="1"/>
    <col min="10704" max="10705" width="7.5" style="6" bestFit="1" customWidth="1"/>
    <col min="10706" max="10706" width="4.6640625" style="6" bestFit="1" customWidth="1"/>
    <col min="10707" max="10710" width="9" style="6"/>
    <col min="10711" max="10711" width="11.1640625" style="6" customWidth="1"/>
    <col min="10712" max="10712" width="11.1640625" style="6" bestFit="1" customWidth="1"/>
    <col min="10713" max="10714" width="8" style="6" bestFit="1" customWidth="1"/>
    <col min="10715" max="10715" width="4.6640625" style="6" bestFit="1" customWidth="1"/>
    <col min="10716" max="10717" width="11.1640625" style="6" bestFit="1" customWidth="1"/>
    <col min="10718" max="10956" width="9" style="6"/>
    <col min="10957" max="10957" width="3" style="6" customWidth="1"/>
    <col min="10958" max="10958" width="12.1640625" style="6" bestFit="1" customWidth="1"/>
    <col min="10959" max="10959" width="9.6640625" style="6" bestFit="1" customWidth="1"/>
    <col min="10960" max="10961" width="7.5" style="6" bestFit="1" customWidth="1"/>
    <col min="10962" max="10962" width="4.6640625" style="6" bestFit="1" customWidth="1"/>
    <col min="10963" max="10966" width="9" style="6"/>
    <col min="10967" max="10967" width="11.1640625" style="6" customWidth="1"/>
    <col min="10968" max="10968" width="11.1640625" style="6" bestFit="1" customWidth="1"/>
    <col min="10969" max="10970" width="8" style="6" bestFit="1" customWidth="1"/>
    <col min="10971" max="10971" width="4.6640625" style="6" bestFit="1" customWidth="1"/>
    <col min="10972" max="10973" width="11.1640625" style="6" bestFit="1" customWidth="1"/>
    <col min="10974" max="11212" width="9" style="6"/>
    <col min="11213" max="11213" width="3" style="6" customWidth="1"/>
    <col min="11214" max="11214" width="12.1640625" style="6" bestFit="1" customWidth="1"/>
    <col min="11215" max="11215" width="9.6640625" style="6" bestFit="1" customWidth="1"/>
    <col min="11216" max="11217" width="7.5" style="6" bestFit="1" customWidth="1"/>
    <col min="11218" max="11218" width="4.6640625" style="6" bestFit="1" customWidth="1"/>
    <col min="11219" max="11222" width="9" style="6"/>
    <col min="11223" max="11223" width="11.1640625" style="6" customWidth="1"/>
    <col min="11224" max="11224" width="11.1640625" style="6" bestFit="1" customWidth="1"/>
    <col min="11225" max="11226" width="8" style="6" bestFit="1" customWidth="1"/>
    <col min="11227" max="11227" width="4.6640625" style="6" bestFit="1" customWidth="1"/>
    <col min="11228" max="11229" width="11.1640625" style="6" bestFit="1" customWidth="1"/>
    <col min="11230" max="11468" width="9" style="6"/>
    <col min="11469" max="11469" width="3" style="6" customWidth="1"/>
    <col min="11470" max="11470" width="12.1640625" style="6" bestFit="1" customWidth="1"/>
    <col min="11471" max="11471" width="9.6640625" style="6" bestFit="1" customWidth="1"/>
    <col min="11472" max="11473" width="7.5" style="6" bestFit="1" customWidth="1"/>
    <col min="11474" max="11474" width="4.6640625" style="6" bestFit="1" customWidth="1"/>
    <col min="11475" max="11478" width="9" style="6"/>
    <col min="11479" max="11479" width="11.1640625" style="6" customWidth="1"/>
    <col min="11480" max="11480" width="11.1640625" style="6" bestFit="1" customWidth="1"/>
    <col min="11481" max="11482" width="8" style="6" bestFit="1" customWidth="1"/>
    <col min="11483" max="11483" width="4.6640625" style="6" bestFit="1" customWidth="1"/>
    <col min="11484" max="11485" width="11.1640625" style="6" bestFit="1" customWidth="1"/>
    <col min="11486" max="11724" width="9" style="6"/>
    <col min="11725" max="11725" width="3" style="6" customWidth="1"/>
    <col min="11726" max="11726" width="12.1640625" style="6" bestFit="1" customWidth="1"/>
    <col min="11727" max="11727" width="9.6640625" style="6" bestFit="1" customWidth="1"/>
    <col min="11728" max="11729" width="7.5" style="6" bestFit="1" customWidth="1"/>
    <col min="11730" max="11730" width="4.6640625" style="6" bestFit="1" customWidth="1"/>
    <col min="11731" max="11734" width="9" style="6"/>
    <col min="11735" max="11735" width="11.1640625" style="6" customWidth="1"/>
    <col min="11736" max="11736" width="11.1640625" style="6" bestFit="1" customWidth="1"/>
    <col min="11737" max="11738" width="8" style="6" bestFit="1" customWidth="1"/>
    <col min="11739" max="11739" width="4.6640625" style="6" bestFit="1" customWidth="1"/>
    <col min="11740" max="11741" width="11.1640625" style="6" bestFit="1" customWidth="1"/>
    <col min="11742" max="11980" width="9" style="6"/>
    <col min="11981" max="11981" width="3" style="6" customWidth="1"/>
    <col min="11982" max="11982" width="12.1640625" style="6" bestFit="1" customWidth="1"/>
    <col min="11983" max="11983" width="9.6640625" style="6" bestFit="1" customWidth="1"/>
    <col min="11984" max="11985" width="7.5" style="6" bestFit="1" customWidth="1"/>
    <col min="11986" max="11986" width="4.6640625" style="6" bestFit="1" customWidth="1"/>
    <col min="11987" max="11990" width="9" style="6"/>
    <col min="11991" max="11991" width="11.1640625" style="6" customWidth="1"/>
    <col min="11992" max="11992" width="11.1640625" style="6" bestFit="1" customWidth="1"/>
    <col min="11993" max="11994" width="8" style="6" bestFit="1" customWidth="1"/>
    <col min="11995" max="11995" width="4.6640625" style="6" bestFit="1" customWidth="1"/>
    <col min="11996" max="11997" width="11.1640625" style="6" bestFit="1" customWidth="1"/>
    <col min="11998" max="12236" width="9" style="6"/>
    <col min="12237" max="12237" width="3" style="6" customWidth="1"/>
    <col min="12238" max="12238" width="12.1640625" style="6" bestFit="1" customWidth="1"/>
    <col min="12239" max="12239" width="9.6640625" style="6" bestFit="1" customWidth="1"/>
    <col min="12240" max="12241" width="7.5" style="6" bestFit="1" customWidth="1"/>
    <col min="12242" max="12242" width="4.6640625" style="6" bestFit="1" customWidth="1"/>
    <col min="12243" max="12246" width="9" style="6"/>
    <col min="12247" max="12247" width="11.1640625" style="6" customWidth="1"/>
    <col min="12248" max="12248" width="11.1640625" style="6" bestFit="1" customWidth="1"/>
    <col min="12249" max="12250" width="8" style="6" bestFit="1" customWidth="1"/>
    <col min="12251" max="12251" width="4.6640625" style="6" bestFit="1" customWidth="1"/>
    <col min="12252" max="12253" width="11.1640625" style="6" bestFit="1" customWidth="1"/>
    <col min="12254" max="12492" width="9" style="6"/>
    <col min="12493" max="12493" width="3" style="6" customWidth="1"/>
    <col min="12494" max="12494" width="12.1640625" style="6" bestFit="1" customWidth="1"/>
    <col min="12495" max="12495" width="9.6640625" style="6" bestFit="1" customWidth="1"/>
    <col min="12496" max="12497" width="7.5" style="6" bestFit="1" customWidth="1"/>
    <col min="12498" max="12498" width="4.6640625" style="6" bestFit="1" customWidth="1"/>
    <col min="12499" max="12502" width="9" style="6"/>
    <col min="12503" max="12503" width="11.1640625" style="6" customWidth="1"/>
    <col min="12504" max="12504" width="11.1640625" style="6" bestFit="1" customWidth="1"/>
    <col min="12505" max="12506" width="8" style="6" bestFit="1" customWidth="1"/>
    <col min="12507" max="12507" width="4.6640625" style="6" bestFit="1" customWidth="1"/>
    <col min="12508" max="12509" width="11.1640625" style="6" bestFit="1" customWidth="1"/>
    <col min="12510" max="12748" width="9" style="6"/>
    <col min="12749" max="12749" width="3" style="6" customWidth="1"/>
    <col min="12750" max="12750" width="12.1640625" style="6" bestFit="1" customWidth="1"/>
    <col min="12751" max="12751" width="9.6640625" style="6" bestFit="1" customWidth="1"/>
    <col min="12752" max="12753" width="7.5" style="6" bestFit="1" customWidth="1"/>
    <col min="12754" max="12754" width="4.6640625" style="6" bestFit="1" customWidth="1"/>
    <col min="12755" max="12758" width="9" style="6"/>
    <col min="12759" max="12759" width="11.1640625" style="6" customWidth="1"/>
    <col min="12760" max="12760" width="11.1640625" style="6" bestFit="1" customWidth="1"/>
    <col min="12761" max="12762" width="8" style="6" bestFit="1" customWidth="1"/>
    <col min="12763" max="12763" width="4.6640625" style="6" bestFit="1" customWidth="1"/>
    <col min="12764" max="12765" width="11.1640625" style="6" bestFit="1" customWidth="1"/>
    <col min="12766" max="13004" width="9" style="6"/>
    <col min="13005" max="13005" width="3" style="6" customWidth="1"/>
    <col min="13006" max="13006" width="12.1640625" style="6" bestFit="1" customWidth="1"/>
    <col min="13007" max="13007" width="9.6640625" style="6" bestFit="1" customWidth="1"/>
    <col min="13008" max="13009" width="7.5" style="6" bestFit="1" customWidth="1"/>
    <col min="13010" max="13010" width="4.6640625" style="6" bestFit="1" customWidth="1"/>
    <col min="13011" max="13014" width="9" style="6"/>
    <col min="13015" max="13015" width="11.1640625" style="6" customWidth="1"/>
    <col min="13016" max="13016" width="11.1640625" style="6" bestFit="1" customWidth="1"/>
    <col min="13017" max="13018" width="8" style="6" bestFit="1" customWidth="1"/>
    <col min="13019" max="13019" width="4.6640625" style="6" bestFit="1" customWidth="1"/>
    <col min="13020" max="13021" width="11.1640625" style="6" bestFit="1" customWidth="1"/>
    <col min="13022" max="13260" width="9" style="6"/>
    <col min="13261" max="13261" width="3" style="6" customWidth="1"/>
    <col min="13262" max="13262" width="12.1640625" style="6" bestFit="1" customWidth="1"/>
    <col min="13263" max="13263" width="9.6640625" style="6" bestFit="1" customWidth="1"/>
    <col min="13264" max="13265" width="7.5" style="6" bestFit="1" customWidth="1"/>
    <col min="13266" max="13266" width="4.6640625" style="6" bestFit="1" customWidth="1"/>
    <col min="13267" max="13270" width="9" style="6"/>
    <col min="13271" max="13271" width="11.1640625" style="6" customWidth="1"/>
    <col min="13272" max="13272" width="11.1640625" style="6" bestFit="1" customWidth="1"/>
    <col min="13273" max="13274" width="8" style="6" bestFit="1" customWidth="1"/>
    <col min="13275" max="13275" width="4.6640625" style="6" bestFit="1" customWidth="1"/>
    <col min="13276" max="13277" width="11.1640625" style="6" bestFit="1" customWidth="1"/>
    <col min="13278" max="13516" width="9" style="6"/>
    <col min="13517" max="13517" width="3" style="6" customWidth="1"/>
    <col min="13518" max="13518" width="12.1640625" style="6" bestFit="1" customWidth="1"/>
    <col min="13519" max="13519" width="9.6640625" style="6" bestFit="1" customWidth="1"/>
    <col min="13520" max="13521" width="7.5" style="6" bestFit="1" customWidth="1"/>
    <col min="13522" max="13522" width="4.6640625" style="6" bestFit="1" customWidth="1"/>
    <col min="13523" max="13526" width="9" style="6"/>
    <col min="13527" max="13527" width="11.1640625" style="6" customWidth="1"/>
    <col min="13528" max="13528" width="11.1640625" style="6" bestFit="1" customWidth="1"/>
    <col min="13529" max="13530" width="8" style="6" bestFit="1" customWidth="1"/>
    <col min="13531" max="13531" width="4.6640625" style="6" bestFit="1" customWidth="1"/>
    <col min="13532" max="13533" width="11.1640625" style="6" bestFit="1" customWidth="1"/>
    <col min="13534" max="13772" width="9" style="6"/>
    <col min="13773" max="13773" width="3" style="6" customWidth="1"/>
    <col min="13774" max="13774" width="12.1640625" style="6" bestFit="1" customWidth="1"/>
    <col min="13775" max="13775" width="9.6640625" style="6" bestFit="1" customWidth="1"/>
    <col min="13776" max="13777" width="7.5" style="6" bestFit="1" customWidth="1"/>
    <col min="13778" max="13778" width="4.6640625" style="6" bestFit="1" customWidth="1"/>
    <col min="13779" max="13782" width="9" style="6"/>
    <col min="13783" max="13783" width="11.1640625" style="6" customWidth="1"/>
    <col min="13784" max="13784" width="11.1640625" style="6" bestFit="1" customWidth="1"/>
    <col min="13785" max="13786" width="8" style="6" bestFit="1" customWidth="1"/>
    <col min="13787" max="13787" width="4.6640625" style="6" bestFit="1" customWidth="1"/>
    <col min="13788" max="13789" width="11.1640625" style="6" bestFit="1" customWidth="1"/>
    <col min="13790" max="14028" width="9" style="6"/>
    <col min="14029" max="14029" width="3" style="6" customWidth="1"/>
    <col min="14030" max="14030" width="12.1640625" style="6" bestFit="1" customWidth="1"/>
    <col min="14031" max="14031" width="9.6640625" style="6" bestFit="1" customWidth="1"/>
    <col min="14032" max="14033" width="7.5" style="6" bestFit="1" customWidth="1"/>
    <col min="14034" max="14034" width="4.6640625" style="6" bestFit="1" customWidth="1"/>
    <col min="14035" max="14038" width="9" style="6"/>
    <col min="14039" max="14039" width="11.1640625" style="6" customWidth="1"/>
    <col min="14040" max="14040" width="11.1640625" style="6" bestFit="1" customWidth="1"/>
    <col min="14041" max="14042" width="8" style="6" bestFit="1" customWidth="1"/>
    <col min="14043" max="14043" width="4.6640625" style="6" bestFit="1" customWidth="1"/>
    <col min="14044" max="14045" width="11.1640625" style="6" bestFit="1" customWidth="1"/>
    <col min="14046" max="14284" width="9" style="6"/>
    <col min="14285" max="14285" width="3" style="6" customWidth="1"/>
    <col min="14286" max="14286" width="12.1640625" style="6" bestFit="1" customWidth="1"/>
    <col min="14287" max="14287" width="9.6640625" style="6" bestFit="1" customWidth="1"/>
    <col min="14288" max="14289" width="7.5" style="6" bestFit="1" customWidth="1"/>
    <col min="14290" max="14290" width="4.6640625" style="6" bestFit="1" customWidth="1"/>
    <col min="14291" max="14294" width="9" style="6"/>
    <col min="14295" max="14295" width="11.1640625" style="6" customWidth="1"/>
    <col min="14296" max="14296" width="11.1640625" style="6" bestFit="1" customWidth="1"/>
    <col min="14297" max="14298" width="8" style="6" bestFit="1" customWidth="1"/>
    <col min="14299" max="14299" width="4.6640625" style="6" bestFit="1" customWidth="1"/>
    <col min="14300" max="14301" width="11.1640625" style="6" bestFit="1" customWidth="1"/>
    <col min="14302" max="14540" width="9" style="6"/>
    <col min="14541" max="14541" width="3" style="6" customWidth="1"/>
    <col min="14542" max="14542" width="12.1640625" style="6" bestFit="1" customWidth="1"/>
    <col min="14543" max="14543" width="9.6640625" style="6" bestFit="1" customWidth="1"/>
    <col min="14544" max="14545" width="7.5" style="6" bestFit="1" customWidth="1"/>
    <col min="14546" max="14546" width="4.6640625" style="6" bestFit="1" customWidth="1"/>
    <col min="14547" max="14550" width="9" style="6"/>
    <col min="14551" max="14551" width="11.1640625" style="6" customWidth="1"/>
    <col min="14552" max="14552" width="11.1640625" style="6" bestFit="1" customWidth="1"/>
    <col min="14553" max="14554" width="8" style="6" bestFit="1" customWidth="1"/>
    <col min="14555" max="14555" width="4.6640625" style="6" bestFit="1" customWidth="1"/>
    <col min="14556" max="14557" width="11.1640625" style="6" bestFit="1" customWidth="1"/>
    <col min="14558" max="14796" width="9" style="6"/>
    <col min="14797" max="14797" width="3" style="6" customWidth="1"/>
    <col min="14798" max="14798" width="12.1640625" style="6" bestFit="1" customWidth="1"/>
    <col min="14799" max="14799" width="9.6640625" style="6" bestFit="1" customWidth="1"/>
    <col min="14800" max="14801" width="7.5" style="6" bestFit="1" customWidth="1"/>
    <col min="14802" max="14802" width="4.6640625" style="6" bestFit="1" customWidth="1"/>
    <col min="14803" max="14806" width="9" style="6"/>
    <col min="14807" max="14807" width="11.1640625" style="6" customWidth="1"/>
    <col min="14808" max="14808" width="11.1640625" style="6" bestFit="1" customWidth="1"/>
    <col min="14809" max="14810" width="8" style="6" bestFit="1" customWidth="1"/>
    <col min="14811" max="14811" width="4.6640625" style="6" bestFit="1" customWidth="1"/>
    <col min="14812" max="14813" width="11.1640625" style="6" bestFit="1" customWidth="1"/>
    <col min="14814" max="15052" width="9" style="6"/>
    <col min="15053" max="15053" width="3" style="6" customWidth="1"/>
    <col min="15054" max="15054" width="12.1640625" style="6" bestFit="1" customWidth="1"/>
    <col min="15055" max="15055" width="9.6640625" style="6" bestFit="1" customWidth="1"/>
    <col min="15056" max="15057" width="7.5" style="6" bestFit="1" customWidth="1"/>
    <col min="15058" max="15058" width="4.6640625" style="6" bestFit="1" customWidth="1"/>
    <col min="15059" max="15062" width="9" style="6"/>
    <col min="15063" max="15063" width="11.1640625" style="6" customWidth="1"/>
    <col min="15064" max="15064" width="11.1640625" style="6" bestFit="1" customWidth="1"/>
    <col min="15065" max="15066" width="8" style="6" bestFit="1" customWidth="1"/>
    <col min="15067" max="15067" width="4.6640625" style="6" bestFit="1" customWidth="1"/>
    <col min="15068" max="15069" width="11.1640625" style="6" bestFit="1" customWidth="1"/>
    <col min="15070" max="15308" width="9" style="6"/>
    <col min="15309" max="15309" width="3" style="6" customWidth="1"/>
    <col min="15310" max="15310" width="12.1640625" style="6" bestFit="1" customWidth="1"/>
    <col min="15311" max="15311" width="9.6640625" style="6" bestFit="1" customWidth="1"/>
    <col min="15312" max="15313" width="7.5" style="6" bestFit="1" customWidth="1"/>
    <col min="15314" max="15314" width="4.6640625" style="6" bestFit="1" customWidth="1"/>
    <col min="15315" max="15318" width="9" style="6"/>
    <col min="15319" max="15319" width="11.1640625" style="6" customWidth="1"/>
    <col min="15320" max="15320" width="11.1640625" style="6" bestFit="1" customWidth="1"/>
    <col min="15321" max="15322" width="8" style="6" bestFit="1" customWidth="1"/>
    <col min="15323" max="15323" width="4.6640625" style="6" bestFit="1" customWidth="1"/>
    <col min="15324" max="15325" width="11.1640625" style="6" bestFit="1" customWidth="1"/>
    <col min="15326" max="15564" width="9" style="6"/>
    <col min="15565" max="15565" width="3" style="6" customWidth="1"/>
    <col min="15566" max="15566" width="12.1640625" style="6" bestFit="1" customWidth="1"/>
    <col min="15567" max="15567" width="9.6640625" style="6" bestFit="1" customWidth="1"/>
    <col min="15568" max="15569" width="7.5" style="6" bestFit="1" customWidth="1"/>
    <col min="15570" max="15570" width="4.6640625" style="6" bestFit="1" customWidth="1"/>
    <col min="15571" max="15574" width="9" style="6"/>
    <col min="15575" max="15575" width="11.1640625" style="6" customWidth="1"/>
    <col min="15576" max="15576" width="11.1640625" style="6" bestFit="1" customWidth="1"/>
    <col min="15577" max="15578" width="8" style="6" bestFit="1" customWidth="1"/>
    <col min="15579" max="15579" width="4.6640625" style="6" bestFit="1" customWidth="1"/>
    <col min="15580" max="15581" width="11.1640625" style="6" bestFit="1" customWidth="1"/>
    <col min="15582" max="15820" width="9" style="6"/>
    <col min="15821" max="15821" width="3" style="6" customWidth="1"/>
    <col min="15822" max="15822" width="12.1640625" style="6" bestFit="1" customWidth="1"/>
    <col min="15823" max="15823" width="9.6640625" style="6" bestFit="1" customWidth="1"/>
    <col min="15824" max="15825" width="7.5" style="6" bestFit="1" customWidth="1"/>
    <col min="15826" max="15826" width="4.6640625" style="6" bestFit="1" customWidth="1"/>
    <col min="15827" max="15830" width="9" style="6"/>
    <col min="15831" max="15831" width="11.1640625" style="6" customWidth="1"/>
    <col min="15832" max="15832" width="11.1640625" style="6" bestFit="1" customWidth="1"/>
    <col min="15833" max="15834" width="8" style="6" bestFit="1" customWidth="1"/>
    <col min="15835" max="15835" width="4.6640625" style="6" bestFit="1" customWidth="1"/>
    <col min="15836" max="15837" width="11.1640625" style="6" bestFit="1" customWidth="1"/>
    <col min="15838" max="16076" width="9" style="6"/>
    <col min="16077" max="16077" width="3" style="6" customWidth="1"/>
    <col min="16078" max="16078" width="12.1640625" style="6" bestFit="1" customWidth="1"/>
    <col min="16079" max="16079" width="9.6640625" style="6" bestFit="1" customWidth="1"/>
    <col min="16080" max="16081" width="7.5" style="6" bestFit="1" customWidth="1"/>
    <col min="16082" max="16082" width="4.6640625" style="6" bestFit="1" customWidth="1"/>
    <col min="16083" max="16086" width="9" style="6"/>
    <col min="16087" max="16087" width="11.1640625" style="6" customWidth="1"/>
    <col min="16088" max="16088" width="11.1640625" style="6" bestFit="1" customWidth="1"/>
    <col min="16089" max="16090" width="8" style="6" bestFit="1" customWidth="1"/>
    <col min="16091" max="16091" width="4.6640625" style="6" bestFit="1" customWidth="1"/>
    <col min="16092" max="16093" width="11.1640625" style="6" bestFit="1" customWidth="1"/>
    <col min="16094" max="16384" width="9" style="6"/>
  </cols>
  <sheetData>
    <row r="1" spans="1:13" ht="15" customHeight="1">
      <c r="A1" s="23" t="s">
        <v>8</v>
      </c>
      <c r="B1" s="24" t="s">
        <v>9</v>
      </c>
      <c r="C1" s="22" t="s">
        <v>10</v>
      </c>
      <c r="D1" s="25" t="s">
        <v>11</v>
      </c>
      <c r="E1" s="26" t="s">
        <v>12</v>
      </c>
      <c r="F1" s="26" t="s">
        <v>13</v>
      </c>
    </row>
    <row r="2" spans="1:13" ht="15" customHeight="1">
      <c r="A2" s="10" t="s">
        <v>15</v>
      </c>
      <c r="B2" s="10" t="s">
        <v>16</v>
      </c>
      <c r="C2" s="10" t="s">
        <v>17</v>
      </c>
      <c r="D2" s="10">
        <v>16</v>
      </c>
      <c r="E2" s="11">
        <v>19269.685163999999</v>
      </c>
      <c r="F2" s="11">
        <v>18982.847759558852</v>
      </c>
      <c r="G2" s="6" t="b">
        <f>A2=$K$4</f>
        <v>1</v>
      </c>
      <c r="H2" s="6">
        <f>--G2</f>
        <v>1</v>
      </c>
    </row>
    <row r="3" spans="1:13" ht="15" customHeight="1">
      <c r="A3" s="10" t="s">
        <v>18</v>
      </c>
      <c r="B3" s="10" t="s">
        <v>19</v>
      </c>
      <c r="C3" s="10" t="s">
        <v>17</v>
      </c>
      <c r="D3" s="10">
        <v>40</v>
      </c>
      <c r="E3" s="11">
        <v>39465.169800000003</v>
      </c>
      <c r="F3" s="11">
        <v>40893.083149311875</v>
      </c>
      <c r="G3" s="6" t="b">
        <f t="shared" ref="G3:G22" si="0">A3=$K$4</f>
        <v>0</v>
      </c>
      <c r="H3" s="6">
        <f t="shared" ref="H3:H22" si="1">--G3</f>
        <v>0</v>
      </c>
      <c r="K3" s="23" t="s">
        <v>23</v>
      </c>
      <c r="L3" s="23" t="s">
        <v>12</v>
      </c>
      <c r="M3" s="12"/>
    </row>
    <row r="4" spans="1:13" ht="15" customHeight="1">
      <c r="A4" s="10" t="s">
        <v>20</v>
      </c>
      <c r="B4" s="10" t="s">
        <v>21</v>
      </c>
      <c r="C4" s="10" t="s">
        <v>17</v>
      </c>
      <c r="D4" s="10">
        <v>20</v>
      </c>
      <c r="E4" s="11">
        <v>21015.944745000001</v>
      </c>
      <c r="F4" s="11">
        <v>22294.085220814908</v>
      </c>
      <c r="G4" s="6" t="b">
        <f t="shared" si="0"/>
        <v>0</v>
      </c>
      <c r="H4" s="6">
        <f t="shared" si="1"/>
        <v>0</v>
      </c>
      <c r="K4" s="10" t="s">
        <v>15</v>
      </c>
      <c r="L4" s="10" cm="1">
        <f t="array" ref="L4">SUM(($A$2:$A$22=K4)*$E$2:$E$22)</f>
        <v>262302.72886559996</v>
      </c>
      <c r="M4" s="12"/>
    </row>
    <row r="5" spans="1:13" ht="15" customHeight="1">
      <c r="A5" s="10" t="s">
        <v>15</v>
      </c>
      <c r="B5" s="10" t="s">
        <v>16</v>
      </c>
      <c r="C5" s="10" t="s">
        <v>17</v>
      </c>
      <c r="D5" s="10">
        <v>20</v>
      </c>
      <c r="E5" s="11">
        <v>23710.258592999999</v>
      </c>
      <c r="F5" s="11">
        <v>24318.374117613792</v>
      </c>
      <c r="G5" s="6" t="b">
        <f t="shared" si="0"/>
        <v>1</v>
      </c>
      <c r="H5" s="6">
        <f t="shared" si="1"/>
        <v>1</v>
      </c>
      <c r="K5" s="10" t="s">
        <v>18</v>
      </c>
      <c r="L5" s="10" cm="1">
        <f t="array" ref="L5">SUM(($A$2:$A$22=K5)*$E$2:$E$22)</f>
        <v>136229.6119212</v>
      </c>
      <c r="M5" s="12"/>
    </row>
    <row r="6" spans="1:13" ht="15" customHeight="1">
      <c r="A6" s="10" t="s">
        <v>20</v>
      </c>
      <c r="B6" s="10" t="s">
        <v>19</v>
      </c>
      <c r="C6" s="10" t="s">
        <v>17</v>
      </c>
      <c r="D6" s="10">
        <v>16</v>
      </c>
      <c r="E6" s="11">
        <v>20015.072431199998</v>
      </c>
      <c r="F6" s="11">
        <v>20256.694699447638</v>
      </c>
      <c r="G6" s="6" t="b">
        <f t="shared" si="0"/>
        <v>0</v>
      </c>
      <c r="H6" s="6">
        <f t="shared" si="1"/>
        <v>0</v>
      </c>
      <c r="K6" s="10" t="s">
        <v>20</v>
      </c>
      <c r="L6" s="10" cm="1">
        <f t="array" ref="L6">SUM(($A$2:$A$22=K6)*$E$2:$E$22)</f>
        <v>164243.354406</v>
      </c>
      <c r="M6" s="12"/>
    </row>
    <row r="7" spans="1:13" ht="15" customHeight="1">
      <c r="A7" s="10" t="s">
        <v>15</v>
      </c>
      <c r="B7" s="10" t="s">
        <v>21</v>
      </c>
      <c r="C7" s="10" t="s">
        <v>17</v>
      </c>
      <c r="D7" s="10">
        <v>200</v>
      </c>
      <c r="E7" s="11">
        <v>40014.12141</v>
      </c>
      <c r="F7" s="11">
        <v>43537.557757683368</v>
      </c>
      <c r="G7" s="6" t="b">
        <f t="shared" si="0"/>
        <v>1</v>
      </c>
      <c r="H7" s="6">
        <f t="shared" si="1"/>
        <v>1</v>
      </c>
      <c r="K7" s="10" t="s">
        <v>22</v>
      </c>
      <c r="L7" s="10" cm="1">
        <f t="array" ref="L7">SUM(($A$2:$A$22=K7)*$E$2:$E$22)</f>
        <v>59742.552081599992</v>
      </c>
      <c r="M7" s="12"/>
    </row>
    <row r="8" spans="1:13" ht="15" customHeight="1">
      <c r="A8" s="10" t="s">
        <v>22</v>
      </c>
      <c r="B8" s="10" t="s">
        <v>16</v>
      </c>
      <c r="C8" s="10" t="s">
        <v>17</v>
      </c>
      <c r="D8" s="10">
        <v>100</v>
      </c>
      <c r="E8" s="11">
        <v>21423.94932</v>
      </c>
      <c r="F8" s="11">
        <v>22917.339613203356</v>
      </c>
      <c r="G8" s="6" t="b">
        <f t="shared" si="0"/>
        <v>0</v>
      </c>
      <c r="H8" s="6">
        <f t="shared" si="1"/>
        <v>0</v>
      </c>
      <c r="K8" s="12"/>
      <c r="L8" s="12"/>
      <c r="M8" s="12"/>
    </row>
    <row r="9" spans="1:13" ht="15" customHeight="1">
      <c r="A9" s="10" t="s">
        <v>15</v>
      </c>
      <c r="B9" s="10" t="s">
        <v>19</v>
      </c>
      <c r="C9" s="10" t="s">
        <v>17</v>
      </c>
      <c r="D9" s="10">
        <v>200</v>
      </c>
      <c r="E9" s="11">
        <v>40014.12141</v>
      </c>
      <c r="F9" s="11">
        <v>44258.364560249865</v>
      </c>
      <c r="G9" s="6" t="b">
        <f t="shared" si="0"/>
        <v>1</v>
      </c>
      <c r="H9" s="6">
        <f t="shared" si="1"/>
        <v>1</v>
      </c>
      <c r="K9" s="12"/>
      <c r="L9" s="12"/>
      <c r="M9" s="12"/>
    </row>
    <row r="10" spans="1:13" ht="15" customHeight="1">
      <c r="A10" s="10" t="s">
        <v>18</v>
      </c>
      <c r="B10" s="10" t="s">
        <v>21</v>
      </c>
      <c r="C10" s="10" t="s">
        <v>17</v>
      </c>
      <c r="D10" s="10">
        <v>400</v>
      </c>
      <c r="E10" s="11">
        <v>84271.490399999995</v>
      </c>
      <c r="F10" s="11">
        <v>92391.153643258687</v>
      </c>
      <c r="G10" s="6" t="b">
        <f t="shared" si="0"/>
        <v>0</v>
      </c>
      <c r="H10" s="6">
        <f t="shared" si="1"/>
        <v>0</v>
      </c>
      <c r="K10" s="23" t="s">
        <v>23</v>
      </c>
      <c r="L10" s="23" t="s">
        <v>24</v>
      </c>
      <c r="M10" s="23" t="s">
        <v>12</v>
      </c>
    </row>
    <row r="11" spans="1:13" ht="15" customHeight="1">
      <c r="A11" s="10" t="s">
        <v>20</v>
      </c>
      <c r="B11" s="10" t="s">
        <v>16</v>
      </c>
      <c r="C11" s="10" t="s">
        <v>17</v>
      </c>
      <c r="D11" s="10">
        <v>212</v>
      </c>
      <c r="E11" s="11">
        <v>48705.657414599991</v>
      </c>
      <c r="F11" s="11">
        <v>51700.030820578511</v>
      </c>
      <c r="G11" s="6" t="b">
        <f t="shared" si="0"/>
        <v>0</v>
      </c>
      <c r="H11" s="6">
        <f t="shared" si="1"/>
        <v>0</v>
      </c>
      <c r="K11" s="10" t="s">
        <v>15</v>
      </c>
      <c r="L11" s="10" t="s">
        <v>21</v>
      </c>
      <c r="M11" s="10" cm="1">
        <f t="array" ref="M11">SUM(($A$2:$A$22=K11)*($B$2:$B$22=L11)*$E$2:$E$22)</f>
        <v>86822.186637599982</v>
      </c>
    </row>
    <row r="12" spans="1:13" ht="15" customHeight="1">
      <c r="A12" s="10" t="s">
        <v>15</v>
      </c>
      <c r="B12" s="10" t="s">
        <v>19</v>
      </c>
      <c r="C12" s="10" t="s">
        <v>17</v>
      </c>
      <c r="D12" s="10">
        <v>224</v>
      </c>
      <c r="E12" s="11">
        <v>47192.034624</v>
      </c>
      <c r="F12" s="11">
        <v>50558.498384562939</v>
      </c>
      <c r="G12" s="6" t="b">
        <f t="shared" si="0"/>
        <v>1</v>
      </c>
      <c r="H12" s="6">
        <f t="shared" si="1"/>
        <v>1</v>
      </c>
      <c r="K12" s="10" t="s">
        <v>18</v>
      </c>
      <c r="L12" s="10" t="s">
        <v>21</v>
      </c>
      <c r="M12" s="10" cm="1">
        <f t="array" ref="M12">SUM(($A$2:$A$22=K12)*($B$2:$B$22=L12)*$E$2:$E$22)</f>
        <v>84271.490399999995</v>
      </c>
    </row>
    <row r="13" spans="1:13" ht="15" customHeight="1">
      <c r="A13" s="10" t="s">
        <v>20</v>
      </c>
      <c r="B13" s="10" t="s">
        <v>21</v>
      </c>
      <c r="C13" s="10" t="s">
        <v>17</v>
      </c>
      <c r="D13" s="10">
        <v>92</v>
      </c>
      <c r="E13" s="11">
        <v>21136.417368599999</v>
      </c>
      <c r="F13" s="11">
        <v>22115.228953458598</v>
      </c>
      <c r="G13" s="6" t="b">
        <f t="shared" si="0"/>
        <v>0</v>
      </c>
      <c r="H13" s="6">
        <f t="shared" si="1"/>
        <v>0</v>
      </c>
      <c r="K13" s="10" t="s">
        <v>20</v>
      </c>
      <c r="L13" s="10" t="s">
        <v>21</v>
      </c>
      <c r="M13" s="10" cm="1">
        <f t="array" ref="M13">SUM(($A$2:$A$22=K13)*($B$2:$B$22=L13)*$E$2:$E$22)</f>
        <v>42152.3621136</v>
      </c>
    </row>
    <row r="14" spans="1:13" ht="15" customHeight="1">
      <c r="A14" s="10" t="s">
        <v>15</v>
      </c>
      <c r="B14" s="10" t="s">
        <v>16</v>
      </c>
      <c r="C14" s="10" t="s">
        <v>17</v>
      </c>
      <c r="D14" s="10">
        <v>100</v>
      </c>
      <c r="E14" s="11">
        <v>27499.508355000002</v>
      </c>
      <c r="F14" s="11">
        <v>30712.177367957313</v>
      </c>
      <c r="G14" s="6" t="b">
        <f t="shared" si="0"/>
        <v>1</v>
      </c>
      <c r="H14" s="6">
        <f t="shared" si="1"/>
        <v>1</v>
      </c>
      <c r="K14" s="10" t="s">
        <v>22</v>
      </c>
      <c r="L14" s="10" t="s">
        <v>21</v>
      </c>
      <c r="M14" s="10" cm="1">
        <f t="array" ref="M14">SUM(($A$2:$A$22=K14)*($B$2:$B$22=L14)*$E$2:$E$22)</f>
        <v>8325.0737135999989</v>
      </c>
    </row>
    <row r="15" spans="1:13" ht="15" customHeight="1">
      <c r="A15" s="10" t="s">
        <v>22</v>
      </c>
      <c r="B15" s="10" t="s">
        <v>19</v>
      </c>
      <c r="C15" s="10" t="s">
        <v>17</v>
      </c>
      <c r="D15" s="10">
        <v>140</v>
      </c>
      <c r="E15" s="11">
        <v>29993.529048</v>
      </c>
      <c r="F15" s="11">
        <v>32726.657776180989</v>
      </c>
      <c r="G15" s="6" t="b">
        <f t="shared" si="0"/>
        <v>0</v>
      </c>
      <c r="H15" s="6">
        <f t="shared" si="1"/>
        <v>0</v>
      </c>
    </row>
    <row r="16" spans="1:13" ht="15" customHeight="1">
      <c r="A16" s="10" t="s">
        <v>15</v>
      </c>
      <c r="B16" s="10" t="s">
        <v>21</v>
      </c>
      <c r="C16" s="10" t="s">
        <v>17</v>
      </c>
      <c r="D16" s="10">
        <v>108</v>
      </c>
      <c r="E16" s="11">
        <v>34682.76271979999</v>
      </c>
      <c r="F16" s="11">
        <v>35738.658109519878</v>
      </c>
      <c r="G16" s="6" t="b">
        <f t="shared" si="0"/>
        <v>1</v>
      </c>
      <c r="H16" s="6">
        <f t="shared" si="1"/>
        <v>1</v>
      </c>
    </row>
    <row r="17" spans="1:13" ht="15" customHeight="1">
      <c r="A17" s="10" t="s">
        <v>18</v>
      </c>
      <c r="B17" s="10" t="s">
        <v>16</v>
      </c>
      <c r="C17" s="10" t="s">
        <v>17</v>
      </c>
      <c r="D17" s="10">
        <v>72</v>
      </c>
      <c r="E17" s="11">
        <v>12492.951721200001</v>
      </c>
      <c r="F17" s="11">
        <v>11098.923925167686</v>
      </c>
      <c r="G17" s="6" t="b">
        <f t="shared" si="0"/>
        <v>0</v>
      </c>
      <c r="H17" s="6">
        <f t="shared" si="1"/>
        <v>0</v>
      </c>
      <c r="K17" s="23" t="s">
        <v>8</v>
      </c>
      <c r="L17" s="23" t="s">
        <v>24</v>
      </c>
      <c r="M17" s="23" t="s">
        <v>12</v>
      </c>
    </row>
    <row r="18" spans="1:13" ht="15" customHeight="1">
      <c r="A18" s="10" t="s">
        <v>20</v>
      </c>
      <c r="B18" s="10" t="s">
        <v>19</v>
      </c>
      <c r="C18" s="10" t="s">
        <v>17</v>
      </c>
      <c r="D18" s="10">
        <v>32</v>
      </c>
      <c r="E18" s="11">
        <v>30449.307249599999</v>
      </c>
      <c r="F18" s="11">
        <v>29398.00409440554</v>
      </c>
      <c r="G18" s="6" t="b">
        <f t="shared" si="0"/>
        <v>0</v>
      </c>
      <c r="H18" s="6">
        <f t="shared" si="1"/>
        <v>0</v>
      </c>
      <c r="K18" s="10" t="s">
        <v>15</v>
      </c>
      <c r="L18" s="10" t="s">
        <v>21</v>
      </c>
      <c r="M18" s="10" cm="1">
        <f t="array" ref="M18">SUMPRODUCT(($A$2:$A$22=K18)*($B$2:$B$22=L18)*$E$2:$E$22)</f>
        <v>86822.186637599982</v>
      </c>
    </row>
    <row r="19" spans="1:13" ht="15" customHeight="1">
      <c r="A19" s="10" t="s">
        <v>15</v>
      </c>
      <c r="B19" s="10" t="s">
        <v>21</v>
      </c>
      <c r="C19" s="10" t="s">
        <v>17</v>
      </c>
      <c r="D19" s="10">
        <v>12</v>
      </c>
      <c r="E19" s="11">
        <v>12125.302507799999</v>
      </c>
      <c r="F19" s="11">
        <v>11641.50878367756</v>
      </c>
      <c r="G19" s="6" t="b">
        <f t="shared" si="0"/>
        <v>1</v>
      </c>
      <c r="H19" s="6">
        <f t="shared" si="1"/>
        <v>1</v>
      </c>
      <c r="K19" s="10" t="s">
        <v>18</v>
      </c>
      <c r="L19" s="10" t="s">
        <v>21</v>
      </c>
      <c r="M19" s="10" cm="1">
        <f t="array" ref="M19">SUMPRODUCT(($A$2:$A$22=K19)*($B$2:$B$22=L19)*$E$2:$E$22)</f>
        <v>84271.490399999995</v>
      </c>
    </row>
    <row r="20" spans="1:13" ht="15" customHeight="1">
      <c r="A20" s="10" t="s">
        <v>20</v>
      </c>
      <c r="B20" s="10" t="s">
        <v>16</v>
      </c>
      <c r="C20" s="10" t="s">
        <v>17</v>
      </c>
      <c r="D20" s="10">
        <v>20</v>
      </c>
      <c r="E20" s="11">
        <v>22920.955196999999</v>
      </c>
      <c r="F20" s="11">
        <v>22707.050330980284</v>
      </c>
      <c r="G20" s="6" t="b">
        <f t="shared" si="0"/>
        <v>0</v>
      </c>
      <c r="H20" s="6">
        <f t="shared" si="1"/>
        <v>0</v>
      </c>
      <c r="K20" s="10" t="s">
        <v>20</v>
      </c>
      <c r="L20" s="10" t="s">
        <v>21</v>
      </c>
      <c r="M20" s="10" cm="1">
        <f t="array" ref="M20">SUMPRODUCT(($A$2:$A$22=K20)*($B$2:$B$22=L20)*$E$2:$E$22)</f>
        <v>42152.3621136</v>
      </c>
    </row>
    <row r="21" spans="1:13" ht="15" customHeight="1">
      <c r="A21" s="10" t="s">
        <v>15</v>
      </c>
      <c r="B21" s="10" t="s">
        <v>19</v>
      </c>
      <c r="C21" s="10" t="s">
        <v>17</v>
      </c>
      <c r="D21" s="10">
        <v>60</v>
      </c>
      <c r="E21" s="11">
        <v>17794.934082</v>
      </c>
      <c r="F21" s="11">
        <v>18667.471284403004</v>
      </c>
      <c r="G21" s="6" t="b">
        <f t="shared" si="0"/>
        <v>1</v>
      </c>
      <c r="H21" s="6">
        <f t="shared" si="1"/>
        <v>1</v>
      </c>
      <c r="K21" s="10" t="s">
        <v>22</v>
      </c>
      <c r="L21" s="10" t="s">
        <v>21</v>
      </c>
      <c r="M21" s="10" cm="1">
        <f t="array" ref="M21">SUMPRODUCT(($A$2:$A$22=K21)*($B$2:$B$22=L21)*$E$2:$E$22)</f>
        <v>8325.0737135999989</v>
      </c>
    </row>
    <row r="22" spans="1:13" ht="15" customHeight="1">
      <c r="A22" s="10" t="s">
        <v>22</v>
      </c>
      <c r="B22" s="10" t="s">
        <v>21</v>
      </c>
      <c r="C22" s="10" t="s">
        <v>17</v>
      </c>
      <c r="D22" s="10">
        <v>24</v>
      </c>
      <c r="E22" s="11">
        <v>8325.0737135999989</v>
      </c>
      <c r="F22" s="11">
        <v>8601.7455508359071</v>
      </c>
      <c r="G22" s="6" t="b">
        <f t="shared" si="0"/>
        <v>0</v>
      </c>
      <c r="H22" s="6">
        <f t="shared" si="1"/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zoomScale="150" zoomScaleNormal="150" workbookViewId="0">
      <selection activeCell="D13" sqref="D13"/>
    </sheetView>
  </sheetViews>
  <sheetFormatPr baseColWidth="10" defaultColWidth="8.83203125" defaultRowHeight="15"/>
  <cols>
    <col min="2" max="2" width="17.83203125" bestFit="1" customWidth="1"/>
    <col min="3" max="3" width="5" bestFit="1" customWidth="1"/>
    <col min="4" max="4" width="12.5" bestFit="1" customWidth="1"/>
    <col min="6" max="6" width="8" bestFit="1" customWidth="1"/>
    <col min="7" max="7" width="7.83203125" bestFit="1" customWidth="1"/>
  </cols>
  <sheetData>
    <row r="1" spans="1:7">
      <c r="A1" s="7"/>
      <c r="B1" s="7"/>
      <c r="C1" s="7"/>
      <c r="D1" s="7"/>
      <c r="E1" s="7"/>
      <c r="F1" s="7"/>
      <c r="G1" s="7"/>
    </row>
    <row r="2" spans="1:7">
      <c r="A2" s="7"/>
      <c r="B2" s="20" t="s">
        <v>269</v>
      </c>
      <c r="C2" s="20"/>
      <c r="D2" s="20">
        <v>3500</v>
      </c>
      <c r="E2" s="7"/>
      <c r="F2" s="7"/>
      <c r="G2" s="7"/>
    </row>
    <row r="3" spans="1:7" ht="16">
      <c r="A3" s="7"/>
      <c r="B3" s="27" t="s">
        <v>25</v>
      </c>
      <c r="C3" s="27" t="s">
        <v>26</v>
      </c>
      <c r="D3" s="27" t="s">
        <v>27</v>
      </c>
      <c r="E3" s="8"/>
      <c r="F3" s="8"/>
      <c r="G3" s="8"/>
    </row>
    <row r="4" spans="1:7" ht="16">
      <c r="A4" s="7"/>
      <c r="B4" s="16" t="s">
        <v>28</v>
      </c>
      <c r="C4" s="17">
        <v>0.03</v>
      </c>
      <c r="D4" s="18">
        <v>0</v>
      </c>
      <c r="E4" s="8"/>
      <c r="F4" s="28" t="s">
        <v>29</v>
      </c>
      <c r="G4" s="28" t="s">
        <v>30</v>
      </c>
    </row>
    <row r="5" spans="1:7" ht="16">
      <c r="A5" s="7"/>
      <c r="B5" s="16" t="s">
        <v>31</v>
      </c>
      <c r="C5" s="17">
        <v>0.1</v>
      </c>
      <c r="D5" s="18">
        <v>105</v>
      </c>
      <c r="E5" s="8"/>
      <c r="F5" s="19">
        <v>6500</v>
      </c>
      <c r="G5" s="19" cm="1">
        <f t="array" ref="G5">MAX((F5-$D$2)*$C$4:$C$10-$D$4:$D$10)</f>
        <v>195</v>
      </c>
    </row>
    <row r="6" spans="1:7" ht="16">
      <c r="A6" s="7"/>
      <c r="B6" s="16" t="s">
        <v>32</v>
      </c>
      <c r="C6" s="17">
        <v>0.2</v>
      </c>
      <c r="D6" s="18">
        <v>555</v>
      </c>
      <c r="E6" s="8"/>
      <c r="F6" s="19">
        <v>20000</v>
      </c>
      <c r="G6" s="19" cm="1">
        <f t="array" ref="G6">MAX((F6-$D$2)*$C$4:$C$10-$D$4:$D$10)</f>
        <v>3120</v>
      </c>
    </row>
    <row r="7" spans="1:7" ht="16">
      <c r="A7" s="7"/>
      <c r="B7" s="16" t="s">
        <v>33</v>
      </c>
      <c r="C7" s="17">
        <v>0.25</v>
      </c>
      <c r="D7" s="18">
        <v>1005</v>
      </c>
      <c r="E7" s="8"/>
      <c r="F7" s="19">
        <v>8000</v>
      </c>
      <c r="G7" s="19" cm="1">
        <f t="array" ref="G7">MAX((F7-$D$2)*$C$4:$C$10-$D$4:$D$10)</f>
        <v>345</v>
      </c>
    </row>
    <row r="8" spans="1:7" ht="16">
      <c r="A8" s="7"/>
      <c r="B8" s="16" t="s">
        <v>34</v>
      </c>
      <c r="C8" s="17">
        <v>0.3</v>
      </c>
      <c r="D8" s="18">
        <v>2755</v>
      </c>
      <c r="E8" s="8"/>
      <c r="F8" s="19">
        <v>4000</v>
      </c>
      <c r="G8" s="19" cm="1">
        <f t="array" ref="G8">MAX((F8-$D$2)*$C$4:$C$10-$D$4:$D$10)</f>
        <v>15</v>
      </c>
    </row>
    <row r="9" spans="1:7" ht="16">
      <c r="A9" s="7"/>
      <c r="B9" s="16" t="s">
        <v>35</v>
      </c>
      <c r="C9" s="17">
        <v>0.35</v>
      </c>
      <c r="D9" s="18">
        <v>5505</v>
      </c>
      <c r="E9" s="8"/>
      <c r="F9" s="19">
        <v>12500</v>
      </c>
      <c r="G9" s="19" cm="1">
        <f t="array" ref="G9">MAX((F9-$D$2)*$C$4:$C$10-$D$4:$D$10)</f>
        <v>1245</v>
      </c>
    </row>
    <row r="10" spans="1:7" ht="16">
      <c r="A10" s="7"/>
      <c r="B10" s="16" t="s">
        <v>36</v>
      </c>
      <c r="C10" s="17">
        <v>0.45</v>
      </c>
      <c r="D10" s="18">
        <v>13505</v>
      </c>
      <c r="E10" s="8"/>
      <c r="F10" s="8"/>
      <c r="G10" s="8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FE556-B9CB-7340-8C9D-BC8F6FCAC857}">
  <dimension ref="A1:M25"/>
  <sheetViews>
    <sheetView zoomScale="120" zoomScaleNormal="120" workbookViewId="0">
      <selection activeCell="I29" sqref="I29"/>
    </sheetView>
  </sheetViews>
  <sheetFormatPr baseColWidth="10" defaultRowHeight="15"/>
  <sheetData>
    <row r="1" spans="1:13">
      <c r="A1" s="42" t="s">
        <v>306</v>
      </c>
      <c r="B1" s="42" t="s">
        <v>307</v>
      </c>
      <c r="E1" s="39" t="s">
        <v>307</v>
      </c>
      <c r="F1" s="43" t="s">
        <v>306</v>
      </c>
      <c r="G1" s="44"/>
      <c r="H1" s="44"/>
      <c r="I1" s="44"/>
      <c r="J1" s="44"/>
      <c r="K1" s="44"/>
      <c r="L1" s="44"/>
      <c r="M1" s="45"/>
    </row>
    <row r="2" spans="1:13">
      <c r="A2" s="38" t="s">
        <v>20</v>
      </c>
      <c r="B2" s="38" t="s">
        <v>308</v>
      </c>
      <c r="E2" s="40" t="s">
        <v>308</v>
      </c>
      <c r="F2" s="41" t="str" cm="1">
        <f t="array" ref="F2:K2">TRANSPOSE(_xlfn._xlws.FILTER(A:A,B:B=E2))</f>
        <v>北京</v>
      </c>
      <c r="G2" s="41" t="str">
        <v>秦皇岛</v>
      </c>
      <c r="H2" s="41" t="str">
        <v>长治</v>
      </c>
      <c r="I2" s="41" t="str">
        <v>张家口</v>
      </c>
      <c r="J2" s="41" t="str">
        <v>天津</v>
      </c>
      <c r="K2" s="41" t="str">
        <v>石家庄</v>
      </c>
      <c r="L2" s="41"/>
      <c r="M2" s="41"/>
    </row>
    <row r="3" spans="1:13">
      <c r="A3" s="38" t="s">
        <v>309</v>
      </c>
      <c r="B3" s="38" t="s">
        <v>310</v>
      </c>
      <c r="E3" s="40" t="s">
        <v>310</v>
      </c>
      <c r="F3" s="41" t="str" cm="1">
        <f t="array" ref="F3:M3">TRANSPOSE(_xlfn._xlws.FILTER(A:A,B:B=E3))</f>
        <v>济南</v>
      </c>
      <c r="G3" s="41" t="str">
        <v>南京</v>
      </c>
      <c r="H3" s="41" t="str">
        <v>上海</v>
      </c>
      <c r="I3" s="41" t="str">
        <v>青岛</v>
      </c>
      <c r="J3" s="41" t="str">
        <v>烟台</v>
      </c>
      <c r="K3" s="41" t="str">
        <v>温州</v>
      </c>
      <c r="L3" s="41" t="str">
        <v>南昌</v>
      </c>
      <c r="M3" s="41" t="str">
        <v>常州</v>
      </c>
    </row>
    <row r="4" spans="1:13">
      <c r="A4" s="38" t="s">
        <v>311</v>
      </c>
      <c r="B4" s="38" t="s">
        <v>308</v>
      </c>
      <c r="E4" s="40" t="s">
        <v>314</v>
      </c>
      <c r="F4" s="41" t="str" cm="1">
        <f t="array" ref="F4:G4">TRANSPOSE(_xlfn._xlws.FILTER(A:A,B:B=E4))</f>
        <v>长春</v>
      </c>
      <c r="G4" s="41" t="str">
        <v>大连</v>
      </c>
      <c r="H4" s="41"/>
      <c r="I4" s="41"/>
      <c r="J4" s="41"/>
      <c r="K4" s="41"/>
      <c r="L4" s="41"/>
      <c r="M4" s="41"/>
    </row>
    <row r="5" spans="1:13">
      <c r="A5" s="38" t="s">
        <v>312</v>
      </c>
      <c r="B5" s="38" t="s">
        <v>310</v>
      </c>
      <c r="E5" s="40" t="s">
        <v>317</v>
      </c>
      <c r="F5" s="41" t="str" cm="1">
        <f t="array" ref="F5">TRANSPOSE(_xlfn._xlws.FILTER(A:A,B:B=E5))</f>
        <v>武汉</v>
      </c>
      <c r="G5" s="41"/>
      <c r="H5" s="41"/>
      <c r="I5" s="41"/>
      <c r="J5" s="41"/>
      <c r="K5" s="41"/>
      <c r="L5" s="41"/>
      <c r="M5" s="41"/>
    </row>
    <row r="6" spans="1:13">
      <c r="A6" s="38" t="s">
        <v>313</v>
      </c>
      <c r="B6" s="38" t="s">
        <v>314</v>
      </c>
      <c r="E6" s="40" t="s">
        <v>321</v>
      </c>
      <c r="F6" s="41" t="str" cm="1">
        <f t="array" ref="F6:H6">TRANSPOSE(_xlfn._xlws.FILTER(A:A,B:B=E6))</f>
        <v>深圳</v>
      </c>
      <c r="G6" s="41" t="str">
        <v>厦门</v>
      </c>
      <c r="H6" s="41" t="str">
        <v>海口</v>
      </c>
      <c r="I6" s="41"/>
      <c r="J6" s="41"/>
      <c r="K6" s="41"/>
      <c r="L6" s="41"/>
      <c r="M6" s="41"/>
    </row>
    <row r="7" spans="1:13">
      <c r="A7" s="38" t="s">
        <v>315</v>
      </c>
      <c r="B7" s="38" t="s">
        <v>308</v>
      </c>
      <c r="E7" s="40" t="s">
        <v>323</v>
      </c>
      <c r="F7" s="41" t="str" cm="1">
        <f t="array" ref="F7:H7">TRANSPOSE(_xlfn._xlws.FILTER(A:A,B:B=E7))</f>
        <v>昆明</v>
      </c>
      <c r="G7" s="41" t="str">
        <v>重庆</v>
      </c>
      <c r="H7" s="41" t="str">
        <v>成都</v>
      </c>
      <c r="I7" s="41"/>
      <c r="J7" s="41"/>
      <c r="K7" s="41"/>
      <c r="L7" s="41"/>
      <c r="M7" s="41"/>
    </row>
    <row r="8" spans="1:13">
      <c r="A8" s="38" t="s">
        <v>316</v>
      </c>
      <c r="B8" s="38" t="s">
        <v>317</v>
      </c>
      <c r="E8" s="40" t="s">
        <v>336</v>
      </c>
      <c r="F8" s="41" t="str" cm="1">
        <f t="array" ref="F8">TRANSPOSE(_xlfn._xlws.FILTER(A:A,B:B=E8))</f>
        <v>西安</v>
      </c>
      <c r="G8" s="41"/>
      <c r="H8" s="41"/>
      <c r="I8" s="41"/>
      <c r="J8" s="41"/>
      <c r="K8" s="41"/>
      <c r="L8" s="41"/>
      <c r="M8" s="41"/>
    </row>
    <row r="9" spans="1:13">
      <c r="A9" s="38" t="s">
        <v>22</v>
      </c>
      <c r="B9" s="38" t="s">
        <v>310</v>
      </c>
    </row>
    <row r="10" spans="1:13">
      <c r="A10" s="38" t="s">
        <v>318</v>
      </c>
      <c r="B10" s="38" t="s">
        <v>310</v>
      </c>
    </row>
    <row r="11" spans="1:13">
      <c r="A11" s="38" t="s">
        <v>319</v>
      </c>
      <c r="B11" s="38" t="s">
        <v>310</v>
      </c>
    </row>
    <row r="12" spans="1:13">
      <c r="A12" s="38" t="s">
        <v>320</v>
      </c>
      <c r="B12" s="38" t="s">
        <v>321</v>
      </c>
      <c r="E12" s="39" t="s">
        <v>307</v>
      </c>
      <c r="F12" s="43" t="s">
        <v>306</v>
      </c>
      <c r="G12" s="44"/>
      <c r="H12" s="44"/>
      <c r="I12" s="44"/>
      <c r="J12" s="44"/>
      <c r="K12" s="44"/>
      <c r="L12" s="44"/>
      <c r="M12" s="45"/>
    </row>
    <row r="13" spans="1:13">
      <c r="A13" s="38" t="s">
        <v>322</v>
      </c>
      <c r="B13" s="38" t="s">
        <v>323</v>
      </c>
      <c r="E13" s="40" t="s">
        <v>308</v>
      </c>
      <c r="F13" s="46" t="str" cm="1">
        <f t="array" ref="F13:K13">TRANSPOSE(_xlfn.UNIQUE(_xlfn._xlws.FILTER(A:A,B:B=E13)))</f>
        <v>北京</v>
      </c>
      <c r="G13" s="41" t="str">
        <v>秦皇岛</v>
      </c>
      <c r="H13" s="41" t="str">
        <v>长治</v>
      </c>
      <c r="I13" s="41" t="str">
        <v>张家口</v>
      </c>
      <c r="J13" s="41" t="str">
        <v>天津</v>
      </c>
      <c r="K13" s="41" t="str">
        <v>石家庄</v>
      </c>
      <c r="L13" s="41"/>
      <c r="M13" s="41"/>
    </row>
    <row r="14" spans="1:13">
      <c r="A14" s="38" t="s">
        <v>324</v>
      </c>
      <c r="B14" s="38" t="s">
        <v>321</v>
      </c>
      <c r="E14" s="40" t="s">
        <v>310</v>
      </c>
      <c r="F14" s="46" t="str" cm="1">
        <f t="array" ref="F14:M14">TRANSPOSE(_xlfn.UNIQUE(_xlfn._xlws.FILTER(A:A,B:B=E14)))</f>
        <v>济南</v>
      </c>
      <c r="G14" s="41" t="str">
        <v>南京</v>
      </c>
      <c r="H14" s="41" t="str">
        <v>上海</v>
      </c>
      <c r="I14" s="41" t="str">
        <v>青岛</v>
      </c>
      <c r="J14" s="41" t="str">
        <v>烟台</v>
      </c>
      <c r="K14" s="41" t="str">
        <v>温州</v>
      </c>
      <c r="L14" s="41" t="str">
        <v>南昌</v>
      </c>
      <c r="M14" s="41" t="str">
        <v>常州</v>
      </c>
    </row>
    <row r="15" spans="1:13">
      <c r="A15" s="38" t="s">
        <v>325</v>
      </c>
      <c r="B15" s="38" t="s">
        <v>310</v>
      </c>
      <c r="E15" s="40" t="s">
        <v>314</v>
      </c>
      <c r="F15" s="46" t="str" cm="1">
        <f t="array" ref="F15:G15">TRANSPOSE(_xlfn.UNIQUE(_xlfn._xlws.FILTER(A:A,B:B=E15)))</f>
        <v>长春</v>
      </c>
      <c r="G15" s="41" t="str">
        <v>大连</v>
      </c>
      <c r="H15" s="41"/>
      <c r="I15" s="41"/>
      <c r="J15" s="41"/>
      <c r="K15" s="41"/>
      <c r="L15" s="41"/>
      <c r="M15" s="41"/>
    </row>
    <row r="16" spans="1:13">
      <c r="A16" s="38" t="s">
        <v>326</v>
      </c>
      <c r="B16" s="38" t="s">
        <v>308</v>
      </c>
      <c r="E16" s="40" t="s">
        <v>317</v>
      </c>
      <c r="F16" s="46" t="str" cm="1">
        <f t="array" ref="F16">TRANSPOSE(_xlfn.UNIQUE(_xlfn._xlws.FILTER(A:A,B:B=E16)))</f>
        <v>武汉</v>
      </c>
      <c r="G16" s="41"/>
      <c r="H16" s="41"/>
      <c r="I16" s="41"/>
      <c r="J16" s="41"/>
      <c r="K16" s="41"/>
      <c r="L16" s="41"/>
      <c r="M16" s="41"/>
    </row>
    <row r="17" spans="1:13">
      <c r="A17" s="38" t="s">
        <v>327</v>
      </c>
      <c r="B17" s="38" t="s">
        <v>323</v>
      </c>
      <c r="E17" s="40" t="s">
        <v>321</v>
      </c>
      <c r="F17" s="46" t="str" cm="1">
        <f t="array" ref="F17:H17">TRANSPOSE(_xlfn.UNIQUE(_xlfn._xlws.FILTER(A:A,B:B=E17)))</f>
        <v>深圳</v>
      </c>
      <c r="G17" s="41" t="str">
        <v>厦门</v>
      </c>
      <c r="H17" s="41" t="str">
        <v>海口</v>
      </c>
      <c r="I17" s="41"/>
      <c r="J17" s="41"/>
      <c r="K17" s="41"/>
      <c r="L17" s="41"/>
      <c r="M17" s="41"/>
    </row>
    <row r="18" spans="1:13">
      <c r="A18" s="38" t="s">
        <v>328</v>
      </c>
      <c r="B18" s="38" t="s">
        <v>310</v>
      </c>
      <c r="E18" s="40" t="s">
        <v>323</v>
      </c>
      <c r="F18" s="46" t="str" cm="1">
        <f t="array" ref="F18:H18">TRANSPOSE(_xlfn.UNIQUE(_xlfn._xlws.FILTER(A:A,B:B=E18)))</f>
        <v>昆明</v>
      </c>
      <c r="G18" s="41" t="str">
        <v>重庆</v>
      </c>
      <c r="H18" s="41" t="str">
        <v>成都</v>
      </c>
      <c r="I18" s="41"/>
      <c r="J18" s="41"/>
      <c r="K18" s="41"/>
      <c r="L18" s="41"/>
      <c r="M18" s="41"/>
    </row>
    <row r="19" spans="1:13">
      <c r="A19" s="38" t="s">
        <v>329</v>
      </c>
      <c r="B19" s="38" t="s">
        <v>323</v>
      </c>
      <c r="E19" s="40" t="s">
        <v>336</v>
      </c>
      <c r="F19" s="46" t="str" cm="1">
        <f t="array" ref="F19">TRANSPOSE(_xlfn.UNIQUE(_xlfn._xlws.FILTER(A:A,B:B=E19)))</f>
        <v>西安</v>
      </c>
      <c r="G19" s="41"/>
      <c r="H19" s="41"/>
      <c r="I19" s="41"/>
      <c r="J19" s="41"/>
      <c r="K19" s="41"/>
      <c r="L19" s="41"/>
      <c r="M19" s="41"/>
    </row>
    <row r="20" spans="1:13">
      <c r="A20" s="38" t="s">
        <v>330</v>
      </c>
      <c r="B20" s="38" t="s">
        <v>314</v>
      </c>
    </row>
    <row r="21" spans="1:13">
      <c r="A21" s="38" t="s">
        <v>331</v>
      </c>
      <c r="B21" s="38" t="s">
        <v>308</v>
      </c>
    </row>
    <row r="22" spans="1:13">
      <c r="A22" s="38" t="s">
        <v>332</v>
      </c>
      <c r="B22" s="38" t="s">
        <v>308</v>
      </c>
    </row>
    <row r="23" spans="1:13">
      <c r="A23" s="38" t="s">
        <v>333</v>
      </c>
      <c r="B23" s="38" t="s">
        <v>321</v>
      </c>
    </row>
    <row r="24" spans="1:13">
      <c r="A24" s="38" t="s">
        <v>334</v>
      </c>
      <c r="B24" s="38" t="s">
        <v>310</v>
      </c>
    </row>
    <row r="25" spans="1:13">
      <c r="A25" s="38" t="s">
        <v>335</v>
      </c>
      <c r="B25" s="38" t="s">
        <v>336</v>
      </c>
    </row>
  </sheetData>
  <mergeCells count="2">
    <mergeCell ref="F1:M1"/>
    <mergeCell ref="F12:M1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86AFD-2AF9-6A47-BAB9-4B0E6A61E7B1}">
  <dimension ref="A1:M15"/>
  <sheetViews>
    <sheetView zoomScale="120" zoomScaleNormal="120" workbookViewId="0">
      <selection activeCell="J11" sqref="J11"/>
    </sheetView>
  </sheetViews>
  <sheetFormatPr baseColWidth="10" defaultRowHeight="15"/>
  <cols>
    <col min="7" max="7" width="13" bestFit="1" customWidth="1"/>
  </cols>
  <sheetData>
    <row r="1" spans="1:13">
      <c r="A1" s="47" t="s">
        <v>344</v>
      </c>
      <c r="B1" s="48" t="s">
        <v>345</v>
      </c>
      <c r="C1" s="48" t="s">
        <v>346</v>
      </c>
      <c r="D1" s="48" t="s">
        <v>347</v>
      </c>
      <c r="G1" s="48" t="s">
        <v>364</v>
      </c>
      <c r="H1" s="49"/>
      <c r="I1" s="48" t="s">
        <v>345</v>
      </c>
      <c r="J1" s="48" t="s">
        <v>346</v>
      </c>
    </row>
    <row r="2" spans="1:13">
      <c r="A2" t="s">
        <v>348</v>
      </c>
      <c r="B2" t="s">
        <v>349</v>
      </c>
      <c r="C2" t="s">
        <v>350</v>
      </c>
      <c r="D2">
        <v>94</v>
      </c>
      <c r="G2">
        <f>COUNTA(_xlfn.UNIQUE(B2:B15))</f>
        <v>5</v>
      </c>
      <c r="I2" t="str" cm="1">
        <f t="array" ref="I2:I6">_xlfn.UNIQUE(B2:B15)</f>
        <v>张三</v>
      </c>
      <c r="J2" t="str" cm="1">
        <f t="array" ref="J2:M2">TRANSPOSE(_xlfn._xlws.FILTER(C2:C15,B2:B15=I2))</f>
        <v>北京</v>
      </c>
      <c r="K2" t="str">
        <v>深圳</v>
      </c>
      <c r="L2" t="str">
        <v>南京</v>
      </c>
      <c r="M2" t="str">
        <v>北京</v>
      </c>
    </row>
    <row r="3" spans="1:13">
      <c r="A3" t="s">
        <v>348</v>
      </c>
      <c r="B3" t="s">
        <v>351</v>
      </c>
      <c r="C3" t="s">
        <v>352</v>
      </c>
      <c r="D3">
        <v>69</v>
      </c>
      <c r="I3" t="str">
        <v>李四</v>
      </c>
      <c r="J3" t="str" cm="1">
        <f t="array" ref="J3:M3">TRANSPOSE(_xlfn._xlws.FILTER(C3:C22,B3:B22=I3))</f>
        <v>上海</v>
      </c>
      <c r="K3" t="str">
        <v>苏州</v>
      </c>
      <c r="L3" t="str">
        <v>重庆</v>
      </c>
      <c r="M3" t="str">
        <v>上海</v>
      </c>
    </row>
    <row r="4" spans="1:13">
      <c r="A4" t="s">
        <v>348</v>
      </c>
      <c r="B4" t="s">
        <v>353</v>
      </c>
      <c r="C4" t="s">
        <v>354</v>
      </c>
      <c r="D4">
        <v>88</v>
      </c>
      <c r="I4" t="str">
        <v>王五</v>
      </c>
      <c r="J4" t="str" cm="1">
        <f t="array" ref="J4:M4">TRANSPOSE(_xlfn._xlws.FILTER(C4:C23,B4:B23=I4))</f>
        <v>广州</v>
      </c>
      <c r="K4" t="str">
        <v>成都</v>
      </c>
      <c r="L4" t="str">
        <v>武汉</v>
      </c>
      <c r="M4" t="str">
        <v>广州</v>
      </c>
    </row>
    <row r="5" spans="1:13">
      <c r="A5" t="s">
        <v>348</v>
      </c>
      <c r="B5" t="s">
        <v>349</v>
      </c>
      <c r="C5" t="s">
        <v>355</v>
      </c>
      <c r="D5">
        <v>69</v>
      </c>
      <c r="I5" t="str">
        <v>赵六</v>
      </c>
      <c r="J5" t="str" cm="1">
        <f t="array" ref="J5">TRANSPOSE(_xlfn._xlws.FILTER(C5:C24,B5:B24=I5))</f>
        <v>深圳</v>
      </c>
    </row>
    <row r="6" spans="1:13">
      <c r="A6" t="s">
        <v>348</v>
      </c>
      <c r="B6" t="s">
        <v>351</v>
      </c>
      <c r="C6" t="s">
        <v>356</v>
      </c>
      <c r="D6">
        <v>24</v>
      </c>
      <c r="I6" t="str">
        <v>田七</v>
      </c>
      <c r="J6" t="str" cm="1">
        <f t="array" ref="J6">TRANSPOSE(_xlfn._xlws.FILTER(C6:C25,B6:B25=I6))</f>
        <v>苏州</v>
      </c>
    </row>
    <row r="7" spans="1:13">
      <c r="A7" t="s">
        <v>348</v>
      </c>
      <c r="B7" t="s">
        <v>353</v>
      </c>
      <c r="C7" t="s">
        <v>357</v>
      </c>
      <c r="D7">
        <v>81</v>
      </c>
    </row>
    <row r="8" spans="1:13">
      <c r="A8" t="s">
        <v>348</v>
      </c>
      <c r="B8" t="s">
        <v>349</v>
      </c>
      <c r="C8" t="s">
        <v>358</v>
      </c>
      <c r="D8">
        <v>2</v>
      </c>
    </row>
    <row r="9" spans="1:13">
      <c r="A9" t="s">
        <v>348</v>
      </c>
      <c r="B9" t="s">
        <v>351</v>
      </c>
      <c r="C9" t="s">
        <v>359</v>
      </c>
      <c r="D9">
        <v>65</v>
      </c>
    </row>
    <row r="10" spans="1:13">
      <c r="A10" t="s">
        <v>348</v>
      </c>
      <c r="B10" t="s">
        <v>353</v>
      </c>
      <c r="C10" t="s">
        <v>360</v>
      </c>
      <c r="D10">
        <v>19</v>
      </c>
    </row>
    <row r="11" spans="1:13">
      <c r="A11" t="s">
        <v>361</v>
      </c>
      <c r="B11" t="s">
        <v>349</v>
      </c>
      <c r="C11" t="s">
        <v>350</v>
      </c>
      <c r="D11">
        <v>37</v>
      </c>
    </row>
    <row r="12" spans="1:13">
      <c r="A12" t="s">
        <v>361</v>
      </c>
      <c r="B12" t="s">
        <v>351</v>
      </c>
      <c r="C12" t="s">
        <v>352</v>
      </c>
      <c r="D12">
        <v>22</v>
      </c>
    </row>
    <row r="13" spans="1:13">
      <c r="A13" t="s">
        <v>361</v>
      </c>
      <c r="B13" t="s">
        <v>353</v>
      </c>
      <c r="C13" t="s">
        <v>354</v>
      </c>
      <c r="D13">
        <v>21</v>
      </c>
    </row>
    <row r="14" spans="1:13">
      <c r="A14" t="s">
        <v>361</v>
      </c>
      <c r="B14" t="s">
        <v>362</v>
      </c>
      <c r="C14" t="s">
        <v>355</v>
      </c>
      <c r="D14">
        <v>49</v>
      </c>
    </row>
    <row r="15" spans="1:13">
      <c r="A15" t="s">
        <v>361</v>
      </c>
      <c r="B15" t="s">
        <v>363</v>
      </c>
      <c r="C15" t="s">
        <v>356</v>
      </c>
      <c r="D15">
        <v>26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2"/>
  <sheetViews>
    <sheetView zoomScale="150" zoomScaleNormal="150" workbookViewId="0">
      <selection activeCell="H5" sqref="H5"/>
    </sheetView>
  </sheetViews>
  <sheetFormatPr baseColWidth="10" defaultColWidth="8.83203125" defaultRowHeight="15"/>
  <cols>
    <col min="2" max="2" width="15" customWidth="1"/>
    <col min="8" max="8" width="25.33203125" bestFit="1" customWidth="1"/>
  </cols>
  <sheetData>
    <row r="1" spans="1:8">
      <c r="A1" s="32" t="s">
        <v>37</v>
      </c>
      <c r="B1" s="32" t="s">
        <v>38</v>
      </c>
      <c r="C1" s="32" t="s">
        <v>39</v>
      </c>
      <c r="D1" s="32" t="s">
        <v>40</v>
      </c>
    </row>
    <row r="2" spans="1:8">
      <c r="A2" s="31" t="s">
        <v>41</v>
      </c>
      <c r="B2" s="31" t="s">
        <v>42</v>
      </c>
      <c r="C2" s="31" t="s">
        <v>43</v>
      </c>
      <c r="D2" s="31" t="s">
        <v>44</v>
      </c>
    </row>
    <row r="3" spans="1:8">
      <c r="A3" s="9" t="s">
        <v>45</v>
      </c>
      <c r="B3" s="9" t="s">
        <v>46</v>
      </c>
      <c r="C3" s="9" t="s">
        <v>47</v>
      </c>
      <c r="D3" s="9" t="s">
        <v>48</v>
      </c>
      <c r="G3" s="30" t="s">
        <v>37</v>
      </c>
      <c r="H3" s="30" t="s">
        <v>38</v>
      </c>
    </row>
    <row r="4" spans="1:8">
      <c r="A4" s="9" t="s">
        <v>49</v>
      </c>
      <c r="B4" s="9" t="s">
        <v>50</v>
      </c>
      <c r="C4" s="9" t="s">
        <v>51</v>
      </c>
      <c r="D4" s="9" t="s">
        <v>48</v>
      </c>
      <c r="G4" s="29" t="s">
        <v>82</v>
      </c>
      <c r="H4" s="15" t="str" cm="1">
        <f t="array" ref="H4">LOOKUP(1,0/($A$2:$A$92=G4),$B$2:$B$92)</f>
        <v>浩天旅行社</v>
      </c>
    </row>
    <row r="5" spans="1:8">
      <c r="A5" s="9" t="s">
        <v>52</v>
      </c>
      <c r="B5" s="9" t="s">
        <v>53</v>
      </c>
      <c r="C5" s="9" t="s">
        <v>54</v>
      </c>
      <c r="D5" s="9" t="s">
        <v>44</v>
      </c>
      <c r="G5" s="14" t="s">
        <v>98</v>
      </c>
      <c r="H5" s="15" t="str" cm="1">
        <f t="array" ref="H5">LOOKUP(1,0/($A$2:$A$92=G5),$B$2:$B$92)</f>
        <v>正人资源</v>
      </c>
    </row>
    <row r="6" spans="1:8">
      <c r="A6" s="9" t="s">
        <v>55</v>
      </c>
      <c r="B6" s="9" t="s">
        <v>56</v>
      </c>
      <c r="C6" s="9" t="s">
        <v>57</v>
      </c>
      <c r="D6" s="9" t="s">
        <v>58</v>
      </c>
      <c r="G6" s="14" t="s">
        <v>134</v>
      </c>
      <c r="H6" s="15" t="str" cm="1">
        <f t="array" ref="H6">LOOKUP(1,0/($A$2:$A$92=G6),$B$2:$B$92)</f>
        <v>实翼</v>
      </c>
    </row>
    <row r="7" spans="1:8">
      <c r="A7" s="9" t="s">
        <v>59</v>
      </c>
      <c r="B7" s="9" t="s">
        <v>60</v>
      </c>
      <c r="C7" s="9" t="s">
        <v>47</v>
      </c>
      <c r="D7" s="9" t="s">
        <v>44</v>
      </c>
      <c r="G7" s="14" t="s">
        <v>49</v>
      </c>
      <c r="H7" s="15" t="str" cm="1">
        <f t="array" ref="H7">LOOKUP(1,0/($A$2:$A$92=G7),$B$2:$B$92)</f>
        <v>坦森行贸易</v>
      </c>
    </row>
    <row r="8" spans="1:8">
      <c r="A8" s="9" t="s">
        <v>61</v>
      </c>
      <c r="B8" s="9" t="s">
        <v>62</v>
      </c>
      <c r="C8" s="9" t="s">
        <v>63</v>
      </c>
      <c r="D8" s="9" t="s">
        <v>64</v>
      </c>
      <c r="G8" s="14" t="s">
        <v>151</v>
      </c>
      <c r="H8" s="15" t="str" cm="1">
        <f t="array" ref="H8">LOOKUP(1,0/($A$2:$A$92=G8),$B$2:$B$92)</f>
        <v>和福建设</v>
      </c>
    </row>
    <row r="9" spans="1:8">
      <c r="A9" s="9" t="s">
        <v>65</v>
      </c>
      <c r="B9" s="9" t="s">
        <v>66</v>
      </c>
      <c r="C9" s="9" t="s">
        <v>67</v>
      </c>
      <c r="D9" s="9" t="s">
        <v>48</v>
      </c>
      <c r="G9" s="14" t="s">
        <v>153</v>
      </c>
      <c r="H9" s="15" t="str" cm="1">
        <f t="array" ref="H9">LOOKUP(1,0/($A$2:$A$92=G9),$B$2:$B$92)</f>
        <v>春永建设</v>
      </c>
    </row>
    <row r="10" spans="1:8">
      <c r="A10" s="9" t="s">
        <v>68</v>
      </c>
      <c r="B10" s="9" t="s">
        <v>69</v>
      </c>
      <c r="C10" s="9" t="s">
        <v>70</v>
      </c>
      <c r="D10" s="9" t="s">
        <v>48</v>
      </c>
      <c r="G10" s="14" t="s">
        <v>155</v>
      </c>
      <c r="H10" s="15" t="str" cm="1">
        <f t="array" ref="H10">LOOKUP(1,0/($A$2:$A$92=G10),$B$2:$B$92)</f>
        <v>幸义房屋</v>
      </c>
    </row>
    <row r="11" spans="1:8">
      <c r="A11" s="9" t="s">
        <v>71</v>
      </c>
      <c r="B11" s="9" t="s">
        <v>72</v>
      </c>
      <c r="C11" s="9" t="s">
        <v>47</v>
      </c>
      <c r="D11" s="9" t="s">
        <v>73</v>
      </c>
      <c r="G11" s="14" t="s">
        <v>157</v>
      </c>
      <c r="H11" s="15" t="str" cm="1">
        <f t="array" ref="H11">LOOKUP(1,0/($A$2:$A$92=G11),$B$2:$B$92)</f>
        <v>兴中保险</v>
      </c>
    </row>
    <row r="12" spans="1:8">
      <c r="A12" s="9" t="s">
        <v>74</v>
      </c>
      <c r="B12" s="9" t="s">
        <v>75</v>
      </c>
      <c r="C12" s="9" t="s">
        <v>76</v>
      </c>
      <c r="D12" s="9" t="s">
        <v>44</v>
      </c>
      <c r="G12" s="14" t="s">
        <v>159</v>
      </c>
      <c r="H12" s="15" t="str" cm="1">
        <f t="array" ref="H12">LOOKUP(1,0/($A$2:$A$92=G12),$B$2:$B$92)</f>
        <v>富泰人寿</v>
      </c>
    </row>
    <row r="13" spans="1:8">
      <c r="A13" s="9" t="s">
        <v>77</v>
      </c>
      <c r="B13" s="9" t="s">
        <v>78</v>
      </c>
      <c r="C13" s="9" t="s">
        <v>70</v>
      </c>
      <c r="D13" s="9" t="s">
        <v>79</v>
      </c>
      <c r="G13" s="14" t="s">
        <v>161</v>
      </c>
      <c r="H13" s="15" t="str" cm="1">
        <f t="array" ref="H13">LOOKUP(1,0/($A$2:$A$92=G13),$B$2:$B$92)</f>
        <v>保信人寿</v>
      </c>
    </row>
    <row r="14" spans="1:8">
      <c r="A14" s="9" t="s">
        <v>80</v>
      </c>
      <c r="B14" s="9" t="s">
        <v>81</v>
      </c>
      <c r="C14" s="9" t="s">
        <v>47</v>
      </c>
      <c r="D14" s="9" t="s">
        <v>64</v>
      </c>
      <c r="G14" s="14" t="s">
        <v>183</v>
      </c>
      <c r="H14" s="15" t="str" cm="1">
        <f t="array" ref="H14">LOOKUP(1,0/($A$2:$A$92=G14),$B$2:$B$92)</f>
        <v>一诠精密工业</v>
      </c>
    </row>
    <row r="15" spans="1:8">
      <c r="A15" s="9" t="s">
        <v>82</v>
      </c>
      <c r="B15" s="9" t="s">
        <v>83</v>
      </c>
      <c r="C15" s="9" t="s">
        <v>54</v>
      </c>
      <c r="D15" s="9" t="s">
        <v>48</v>
      </c>
      <c r="G15" s="14" t="s">
        <v>185</v>
      </c>
      <c r="H15" s="15" t="str" cm="1">
        <f t="array" ref="H15">LOOKUP(1,0/($A$2:$A$92=G15),$B$2:$B$92)</f>
        <v>立日股份有限公司</v>
      </c>
    </row>
    <row r="16" spans="1:8">
      <c r="A16" s="9" t="s">
        <v>84</v>
      </c>
      <c r="B16" s="9" t="s">
        <v>85</v>
      </c>
      <c r="C16" s="9" t="s">
        <v>70</v>
      </c>
      <c r="D16" s="9" t="s">
        <v>86</v>
      </c>
      <c r="G16" s="14" t="s">
        <v>227</v>
      </c>
      <c r="H16" s="15" t="str" cm="1">
        <f t="array" ref="H16">LOOKUP(1,0/($A$2:$A$92=G16),$B$2:$B$92)</f>
        <v>昇昕股份有限公司</v>
      </c>
    </row>
    <row r="17" spans="1:8">
      <c r="A17" s="9" t="s">
        <v>87</v>
      </c>
      <c r="B17" s="9" t="s">
        <v>88</v>
      </c>
      <c r="C17" s="9" t="s">
        <v>89</v>
      </c>
      <c r="D17" s="9" t="s">
        <v>44</v>
      </c>
      <c r="G17" s="14" t="s">
        <v>229</v>
      </c>
      <c r="H17" s="15" t="str" cm="1">
        <f t="array" ref="H17">LOOKUP(1,0/($A$2:$A$92=G17),$B$2:$B$92)</f>
        <v>福星制衣厂股份有限公司</v>
      </c>
    </row>
    <row r="18" spans="1:8">
      <c r="A18" s="9" t="s">
        <v>221</v>
      </c>
      <c r="B18" s="9" t="s">
        <v>222</v>
      </c>
      <c r="C18" s="9" t="s">
        <v>100</v>
      </c>
      <c r="D18" s="9" t="s">
        <v>101</v>
      </c>
    </row>
    <row r="19" spans="1:8">
      <c r="A19" s="9" t="s">
        <v>147</v>
      </c>
      <c r="B19" s="9" t="s">
        <v>148</v>
      </c>
      <c r="C19" s="9" t="s">
        <v>100</v>
      </c>
      <c r="D19" s="9" t="s">
        <v>44</v>
      </c>
    </row>
    <row r="20" spans="1:8">
      <c r="A20" s="9" t="s">
        <v>223</v>
      </c>
      <c r="B20" s="9" t="s">
        <v>224</v>
      </c>
      <c r="C20" s="9" t="s">
        <v>176</v>
      </c>
      <c r="D20" s="9" t="s">
        <v>48</v>
      </c>
    </row>
    <row r="21" spans="1:8">
      <c r="A21" s="9" t="s">
        <v>161</v>
      </c>
      <c r="B21" s="9" t="s">
        <v>162</v>
      </c>
      <c r="C21" s="9" t="s">
        <v>54</v>
      </c>
      <c r="D21" s="9" t="s">
        <v>48</v>
      </c>
    </row>
    <row r="22" spans="1:8">
      <c r="A22" s="9" t="s">
        <v>149</v>
      </c>
      <c r="B22" s="9" t="s">
        <v>150</v>
      </c>
      <c r="C22" s="9" t="s">
        <v>47</v>
      </c>
      <c r="D22" s="9" t="s">
        <v>101</v>
      </c>
    </row>
    <row r="23" spans="1:8">
      <c r="A23" s="9" t="s">
        <v>153</v>
      </c>
      <c r="B23" s="9" t="s">
        <v>154</v>
      </c>
      <c r="C23" s="9" t="s">
        <v>47</v>
      </c>
      <c r="D23" s="9" t="s">
        <v>64</v>
      </c>
    </row>
    <row r="24" spans="1:8">
      <c r="A24" s="9" t="s">
        <v>225</v>
      </c>
      <c r="B24" s="9" t="s">
        <v>226</v>
      </c>
      <c r="C24" s="9" t="s">
        <v>70</v>
      </c>
      <c r="D24" s="9" t="s">
        <v>64</v>
      </c>
    </row>
    <row r="25" spans="1:8">
      <c r="A25" s="9" t="s">
        <v>202</v>
      </c>
      <c r="B25" s="9" t="s">
        <v>203</v>
      </c>
      <c r="C25" s="9" t="s">
        <v>204</v>
      </c>
      <c r="D25" s="9" t="s">
        <v>44</v>
      </c>
    </row>
    <row r="26" spans="1:8">
      <c r="A26" s="9" t="s">
        <v>218</v>
      </c>
      <c r="B26" s="9" t="s">
        <v>219</v>
      </c>
      <c r="C26" s="9" t="s">
        <v>220</v>
      </c>
      <c r="D26" s="9" t="s">
        <v>44</v>
      </c>
    </row>
    <row r="27" spans="1:8">
      <c r="A27" s="9" t="s">
        <v>214</v>
      </c>
      <c r="B27" s="9" t="s">
        <v>215</v>
      </c>
      <c r="C27" s="9" t="s">
        <v>47</v>
      </c>
      <c r="D27" s="9" t="s">
        <v>73</v>
      </c>
    </row>
    <row r="28" spans="1:8">
      <c r="A28" s="9" t="s">
        <v>189</v>
      </c>
      <c r="B28" s="9" t="s">
        <v>190</v>
      </c>
      <c r="C28" s="9" t="s">
        <v>54</v>
      </c>
      <c r="D28" s="9" t="s">
        <v>101</v>
      </c>
    </row>
    <row r="29" spans="1:8">
      <c r="A29" s="9" t="s">
        <v>236</v>
      </c>
      <c r="B29" s="9" t="s">
        <v>237</v>
      </c>
      <c r="C29" s="9" t="s">
        <v>235</v>
      </c>
      <c r="D29" s="9" t="s">
        <v>64</v>
      </c>
    </row>
    <row r="30" spans="1:8">
      <c r="A30" s="9" t="s">
        <v>123</v>
      </c>
      <c r="B30" s="9" t="s">
        <v>124</v>
      </c>
      <c r="C30" s="9" t="s">
        <v>47</v>
      </c>
      <c r="D30" s="9" t="s">
        <v>64</v>
      </c>
    </row>
    <row r="31" spans="1:8">
      <c r="A31" s="9" t="s">
        <v>229</v>
      </c>
      <c r="B31" s="9" t="s">
        <v>230</v>
      </c>
      <c r="C31" s="9" t="s">
        <v>201</v>
      </c>
      <c r="D31" s="9" t="s">
        <v>73</v>
      </c>
    </row>
    <row r="32" spans="1:8">
      <c r="A32" s="9" t="s">
        <v>159</v>
      </c>
      <c r="B32" s="9" t="s">
        <v>160</v>
      </c>
      <c r="C32" s="9" t="s">
        <v>67</v>
      </c>
      <c r="D32" s="9" t="s">
        <v>73</v>
      </c>
    </row>
    <row r="33" spans="1:4">
      <c r="A33" s="9" t="s">
        <v>177</v>
      </c>
      <c r="B33" s="9" t="s">
        <v>178</v>
      </c>
      <c r="C33" s="9" t="s">
        <v>47</v>
      </c>
      <c r="D33" s="9" t="s">
        <v>86</v>
      </c>
    </row>
    <row r="34" spans="1:4">
      <c r="A34" s="9" t="s">
        <v>199</v>
      </c>
      <c r="B34" s="9" t="s">
        <v>200</v>
      </c>
      <c r="C34" s="9" t="s">
        <v>201</v>
      </c>
      <c r="D34" s="9" t="s">
        <v>73</v>
      </c>
    </row>
    <row r="35" spans="1:4">
      <c r="A35" s="9" t="s">
        <v>132</v>
      </c>
      <c r="B35" s="9" t="s">
        <v>133</v>
      </c>
      <c r="C35" s="9" t="s">
        <v>67</v>
      </c>
      <c r="D35" s="9" t="s">
        <v>48</v>
      </c>
    </row>
    <row r="36" spans="1:4">
      <c r="A36" s="9" t="s">
        <v>116</v>
      </c>
      <c r="B36" s="9" t="s">
        <v>117</v>
      </c>
      <c r="C36" s="9" t="s">
        <v>115</v>
      </c>
      <c r="D36" s="9" t="s">
        <v>64</v>
      </c>
    </row>
    <row r="37" spans="1:4">
      <c r="A37" s="9" t="s">
        <v>263</v>
      </c>
      <c r="B37" s="9" t="s">
        <v>264</v>
      </c>
      <c r="C37" s="9" t="s">
        <v>70</v>
      </c>
      <c r="D37" s="9" t="s">
        <v>48</v>
      </c>
    </row>
    <row r="38" spans="1:4">
      <c r="A38" s="9" t="s">
        <v>216</v>
      </c>
      <c r="B38" s="9" t="s">
        <v>217</v>
      </c>
      <c r="C38" s="9" t="s">
        <v>47</v>
      </c>
      <c r="D38" s="9" t="s">
        <v>48</v>
      </c>
    </row>
    <row r="39" spans="1:4">
      <c r="A39" s="9" t="s">
        <v>151</v>
      </c>
      <c r="B39" s="9" t="s">
        <v>152</v>
      </c>
      <c r="C39" s="9" t="s">
        <v>70</v>
      </c>
      <c r="D39" s="9" t="s">
        <v>104</v>
      </c>
    </row>
    <row r="40" spans="1:4">
      <c r="A40" s="9" t="s">
        <v>102</v>
      </c>
      <c r="B40" s="9" t="s">
        <v>103</v>
      </c>
      <c r="C40" s="9" t="s">
        <v>47</v>
      </c>
      <c r="D40" s="9" t="s">
        <v>104</v>
      </c>
    </row>
    <row r="41" spans="1:4">
      <c r="A41" s="9" t="s">
        <v>171</v>
      </c>
      <c r="B41" s="9" t="s">
        <v>172</v>
      </c>
      <c r="C41" s="9" t="s">
        <v>173</v>
      </c>
      <c r="D41" s="9" t="s">
        <v>104</v>
      </c>
    </row>
    <row r="42" spans="1:4">
      <c r="A42" s="9" t="s">
        <v>107</v>
      </c>
      <c r="B42" s="9" t="s">
        <v>108</v>
      </c>
      <c r="C42" s="9" t="s">
        <v>70</v>
      </c>
      <c r="D42" s="9" t="s">
        <v>109</v>
      </c>
    </row>
    <row r="43" spans="1:4">
      <c r="A43" s="9" t="s">
        <v>105</v>
      </c>
      <c r="B43" s="9" t="s">
        <v>106</v>
      </c>
      <c r="C43" s="9" t="s">
        <v>43</v>
      </c>
      <c r="D43" s="9" t="s">
        <v>73</v>
      </c>
    </row>
    <row r="44" spans="1:4">
      <c r="A44" s="9" t="s">
        <v>208</v>
      </c>
      <c r="B44" s="9" t="s">
        <v>209</v>
      </c>
      <c r="C44" s="9" t="s">
        <v>67</v>
      </c>
      <c r="D44" s="9" t="s">
        <v>86</v>
      </c>
    </row>
    <row r="45" spans="1:4">
      <c r="A45" s="9" t="s">
        <v>125</v>
      </c>
      <c r="B45" s="9" t="s">
        <v>126</v>
      </c>
      <c r="C45" s="9" t="s">
        <v>67</v>
      </c>
      <c r="D45" s="9" t="s">
        <v>101</v>
      </c>
    </row>
    <row r="46" spans="1:4">
      <c r="A46" s="9" t="s">
        <v>187</v>
      </c>
      <c r="B46" s="9" t="s">
        <v>188</v>
      </c>
      <c r="C46" s="9" t="s">
        <v>120</v>
      </c>
      <c r="D46" s="9" t="s">
        <v>44</v>
      </c>
    </row>
    <row r="47" spans="1:4">
      <c r="A47" s="9" t="s">
        <v>254</v>
      </c>
      <c r="B47" s="9" t="s">
        <v>255</v>
      </c>
      <c r="C47" s="9" t="s">
        <v>70</v>
      </c>
      <c r="D47" s="9" t="s">
        <v>101</v>
      </c>
    </row>
    <row r="48" spans="1:4">
      <c r="A48" s="9" t="s">
        <v>250</v>
      </c>
      <c r="B48" s="9" t="s">
        <v>251</v>
      </c>
      <c r="C48" s="9" t="s">
        <v>54</v>
      </c>
      <c r="D48" s="9" t="s">
        <v>44</v>
      </c>
    </row>
    <row r="49" spans="1:4">
      <c r="A49" s="9" t="s">
        <v>121</v>
      </c>
      <c r="B49" s="9" t="s">
        <v>122</v>
      </c>
      <c r="C49" s="9" t="s">
        <v>47</v>
      </c>
      <c r="D49" s="9" t="s">
        <v>101</v>
      </c>
    </row>
    <row r="50" spans="1:4">
      <c r="A50" s="9" t="s">
        <v>191</v>
      </c>
      <c r="B50" s="9" t="s">
        <v>192</v>
      </c>
      <c r="C50" s="9" t="s">
        <v>193</v>
      </c>
      <c r="D50" s="9" t="s">
        <v>44</v>
      </c>
    </row>
    <row r="51" spans="1:4">
      <c r="A51" s="9" t="s">
        <v>194</v>
      </c>
      <c r="B51" s="9" t="s">
        <v>195</v>
      </c>
      <c r="C51" s="9" t="s">
        <v>47</v>
      </c>
      <c r="D51" s="9" t="s">
        <v>73</v>
      </c>
    </row>
    <row r="52" spans="1:4">
      <c r="A52" s="9" t="s">
        <v>185</v>
      </c>
      <c r="B52" s="9" t="s">
        <v>186</v>
      </c>
      <c r="C52" s="9" t="s">
        <v>129</v>
      </c>
      <c r="D52" s="9" t="s">
        <v>48</v>
      </c>
    </row>
    <row r="53" spans="1:4">
      <c r="A53" s="9" t="s">
        <v>179</v>
      </c>
      <c r="B53" s="9" t="s">
        <v>180</v>
      </c>
      <c r="C53" s="9" t="s">
        <v>67</v>
      </c>
      <c r="D53" s="9" t="s">
        <v>79</v>
      </c>
    </row>
    <row r="54" spans="1:4">
      <c r="A54" s="9" t="s">
        <v>196</v>
      </c>
      <c r="B54" s="9" t="s">
        <v>197</v>
      </c>
      <c r="C54" s="9" t="s">
        <v>198</v>
      </c>
      <c r="D54" s="9" t="s">
        <v>104</v>
      </c>
    </row>
    <row r="55" spans="1:4">
      <c r="A55" s="9" t="s">
        <v>93</v>
      </c>
      <c r="B55" s="9" t="s">
        <v>94</v>
      </c>
      <c r="C55" s="9" t="s">
        <v>95</v>
      </c>
      <c r="D55" s="9" t="s">
        <v>48</v>
      </c>
    </row>
    <row r="56" spans="1:4">
      <c r="A56" s="9" t="s">
        <v>246</v>
      </c>
      <c r="B56" s="9" t="s">
        <v>247</v>
      </c>
      <c r="C56" s="9" t="s">
        <v>112</v>
      </c>
      <c r="D56" s="9" t="s">
        <v>79</v>
      </c>
    </row>
    <row r="57" spans="1:4">
      <c r="A57" s="9" t="s">
        <v>181</v>
      </c>
      <c r="B57" s="9" t="s">
        <v>182</v>
      </c>
      <c r="C57" s="9" t="s">
        <v>112</v>
      </c>
      <c r="D57" s="9" t="s">
        <v>44</v>
      </c>
    </row>
    <row r="58" spans="1:4">
      <c r="A58" s="9" t="s">
        <v>248</v>
      </c>
      <c r="B58" s="9" t="s">
        <v>249</v>
      </c>
      <c r="C58" s="9" t="s">
        <v>92</v>
      </c>
      <c r="D58" s="9" t="s">
        <v>73</v>
      </c>
    </row>
    <row r="59" spans="1:4">
      <c r="A59" s="9" t="s">
        <v>231</v>
      </c>
      <c r="B59" s="9" t="s">
        <v>232</v>
      </c>
      <c r="C59" s="9" t="s">
        <v>100</v>
      </c>
      <c r="D59" s="9" t="s">
        <v>64</v>
      </c>
    </row>
    <row r="60" spans="1:4">
      <c r="A60" s="9" t="s">
        <v>242</v>
      </c>
      <c r="B60" s="9" t="s">
        <v>243</v>
      </c>
      <c r="C60" s="9" t="s">
        <v>89</v>
      </c>
      <c r="D60" s="9" t="s">
        <v>86</v>
      </c>
    </row>
    <row r="61" spans="1:4">
      <c r="A61" s="9" t="s">
        <v>252</v>
      </c>
      <c r="B61" s="9" t="s">
        <v>253</v>
      </c>
      <c r="C61" s="9" t="s">
        <v>95</v>
      </c>
      <c r="D61" s="9" t="s">
        <v>73</v>
      </c>
    </row>
    <row r="62" spans="1:4">
      <c r="A62" s="9" t="s">
        <v>227</v>
      </c>
      <c r="B62" s="9" t="s">
        <v>228</v>
      </c>
      <c r="C62" s="9" t="s">
        <v>100</v>
      </c>
      <c r="D62" s="9" t="s">
        <v>101</v>
      </c>
    </row>
    <row r="63" spans="1:4">
      <c r="A63" s="9" t="s">
        <v>140</v>
      </c>
      <c r="B63" s="9" t="s">
        <v>141</v>
      </c>
      <c r="C63" s="9" t="s">
        <v>112</v>
      </c>
      <c r="D63" s="9" t="s">
        <v>86</v>
      </c>
    </row>
    <row r="64" spans="1:4">
      <c r="A64" s="9" t="s">
        <v>134</v>
      </c>
      <c r="B64" s="9" t="s">
        <v>135</v>
      </c>
      <c r="C64" s="9" t="s">
        <v>100</v>
      </c>
      <c r="D64" s="9" t="s">
        <v>73</v>
      </c>
    </row>
    <row r="65" spans="1:4">
      <c r="A65" s="9" t="s">
        <v>90</v>
      </c>
      <c r="B65" s="9" t="s">
        <v>91</v>
      </c>
      <c r="C65" s="9" t="s">
        <v>92</v>
      </c>
      <c r="D65" s="9" t="s">
        <v>58</v>
      </c>
    </row>
    <row r="66" spans="1:4">
      <c r="A66" s="9" t="s">
        <v>118</v>
      </c>
      <c r="B66" s="9" t="s">
        <v>119</v>
      </c>
      <c r="C66" s="9" t="s">
        <v>120</v>
      </c>
      <c r="D66" s="9" t="s">
        <v>44</v>
      </c>
    </row>
    <row r="67" spans="1:4">
      <c r="A67" s="9" t="s">
        <v>138</v>
      </c>
      <c r="B67" s="9" t="s">
        <v>139</v>
      </c>
      <c r="C67" s="9" t="s">
        <v>112</v>
      </c>
      <c r="D67" s="9" t="s">
        <v>44</v>
      </c>
    </row>
    <row r="68" spans="1:4">
      <c r="A68" s="9" t="s">
        <v>110</v>
      </c>
      <c r="B68" s="9" t="s">
        <v>111</v>
      </c>
      <c r="C68" s="9" t="s">
        <v>112</v>
      </c>
      <c r="D68" s="9" t="s">
        <v>48</v>
      </c>
    </row>
    <row r="69" spans="1:4">
      <c r="A69" s="9" t="s">
        <v>238</v>
      </c>
      <c r="B69" s="9" t="s">
        <v>239</v>
      </c>
      <c r="C69" s="9" t="s">
        <v>47</v>
      </c>
      <c r="D69" s="9" t="s">
        <v>48</v>
      </c>
    </row>
    <row r="70" spans="1:4">
      <c r="A70" s="9" t="s">
        <v>233</v>
      </c>
      <c r="B70" s="9" t="s">
        <v>234</v>
      </c>
      <c r="C70" s="9" t="s">
        <v>235</v>
      </c>
      <c r="D70" s="9" t="s">
        <v>104</v>
      </c>
    </row>
    <row r="71" spans="1:4">
      <c r="A71" s="9" t="s">
        <v>142</v>
      </c>
      <c r="B71" s="9" t="s">
        <v>143</v>
      </c>
      <c r="C71" s="9" t="s">
        <v>144</v>
      </c>
      <c r="D71" s="9" t="s">
        <v>64</v>
      </c>
    </row>
    <row r="72" spans="1:4">
      <c r="A72" s="9" t="s">
        <v>157</v>
      </c>
      <c r="B72" s="9" t="s">
        <v>158</v>
      </c>
      <c r="C72" s="9" t="s">
        <v>54</v>
      </c>
      <c r="D72" s="9" t="s">
        <v>48</v>
      </c>
    </row>
    <row r="73" spans="1:4">
      <c r="A73" s="9" t="s">
        <v>155</v>
      </c>
      <c r="B73" s="9" t="s">
        <v>156</v>
      </c>
      <c r="C73" s="9" t="s">
        <v>70</v>
      </c>
      <c r="D73" s="9" t="s">
        <v>44</v>
      </c>
    </row>
    <row r="74" spans="1:4">
      <c r="A74" s="9" t="s">
        <v>205</v>
      </c>
      <c r="B74" s="9" t="s">
        <v>206</v>
      </c>
      <c r="C74" s="9" t="s">
        <v>115</v>
      </c>
      <c r="D74" s="9" t="s">
        <v>207</v>
      </c>
    </row>
    <row r="75" spans="1:4">
      <c r="A75" s="9" t="s">
        <v>240</v>
      </c>
      <c r="B75" s="9" t="s">
        <v>241</v>
      </c>
      <c r="C75" s="9" t="s">
        <v>67</v>
      </c>
      <c r="D75" s="9" t="s">
        <v>44</v>
      </c>
    </row>
    <row r="76" spans="1:4">
      <c r="A76" s="9" t="s">
        <v>166</v>
      </c>
      <c r="B76" s="9" t="s">
        <v>167</v>
      </c>
      <c r="C76" s="9" t="s">
        <v>70</v>
      </c>
      <c r="D76" s="9" t="s">
        <v>64</v>
      </c>
    </row>
    <row r="77" spans="1:4">
      <c r="A77" s="9" t="s">
        <v>127</v>
      </c>
      <c r="B77" s="9" t="s">
        <v>128</v>
      </c>
      <c r="C77" s="9" t="s">
        <v>129</v>
      </c>
      <c r="D77" s="9" t="s">
        <v>86</v>
      </c>
    </row>
    <row r="78" spans="1:4">
      <c r="A78" s="9" t="s">
        <v>183</v>
      </c>
      <c r="B78" s="9" t="s">
        <v>184</v>
      </c>
      <c r="C78" s="9" t="s">
        <v>70</v>
      </c>
      <c r="D78" s="9" t="s">
        <v>48</v>
      </c>
    </row>
    <row r="79" spans="1:4">
      <c r="A79" s="9" t="s">
        <v>130</v>
      </c>
      <c r="B79" s="9" t="s">
        <v>131</v>
      </c>
      <c r="C79" s="9" t="s">
        <v>47</v>
      </c>
      <c r="D79" s="9" t="s">
        <v>64</v>
      </c>
    </row>
    <row r="80" spans="1:4">
      <c r="A80" s="9" t="s">
        <v>256</v>
      </c>
      <c r="B80" s="9" t="s">
        <v>257</v>
      </c>
      <c r="C80" s="9" t="s">
        <v>54</v>
      </c>
      <c r="D80" s="9" t="s">
        <v>258</v>
      </c>
    </row>
    <row r="81" spans="1:4">
      <c r="A81" s="9" t="s">
        <v>212</v>
      </c>
      <c r="B81" s="9" t="s">
        <v>213</v>
      </c>
      <c r="C81" s="9" t="s">
        <v>115</v>
      </c>
      <c r="D81" s="9" t="s">
        <v>101</v>
      </c>
    </row>
    <row r="82" spans="1:4">
      <c r="A82" s="9" t="s">
        <v>145</v>
      </c>
      <c r="B82" s="9" t="s">
        <v>146</v>
      </c>
      <c r="C82" s="9" t="s">
        <v>76</v>
      </c>
      <c r="D82" s="9" t="s">
        <v>86</v>
      </c>
    </row>
    <row r="83" spans="1:4">
      <c r="A83" s="9" t="s">
        <v>113</v>
      </c>
      <c r="B83" s="9" t="s">
        <v>114</v>
      </c>
      <c r="C83" s="9" t="s">
        <v>115</v>
      </c>
      <c r="D83" s="9" t="s">
        <v>64</v>
      </c>
    </row>
    <row r="84" spans="1:4">
      <c r="A84" s="9" t="s">
        <v>210</v>
      </c>
      <c r="B84" s="9" t="s">
        <v>211</v>
      </c>
      <c r="C84" s="9" t="s">
        <v>63</v>
      </c>
      <c r="D84" s="9" t="s">
        <v>109</v>
      </c>
    </row>
    <row r="85" spans="1:4">
      <c r="A85" s="9" t="s">
        <v>136</v>
      </c>
      <c r="B85" s="9" t="s">
        <v>137</v>
      </c>
      <c r="C85" s="9" t="s">
        <v>47</v>
      </c>
      <c r="D85" s="9" t="s">
        <v>44</v>
      </c>
    </row>
    <row r="86" spans="1:4">
      <c r="A86" s="9" t="s">
        <v>168</v>
      </c>
      <c r="B86" s="9" t="s">
        <v>169</v>
      </c>
      <c r="C86" s="9" t="s">
        <v>170</v>
      </c>
      <c r="D86" s="9" t="s">
        <v>79</v>
      </c>
    </row>
    <row r="87" spans="1:4">
      <c r="A87" s="9" t="s">
        <v>98</v>
      </c>
      <c r="B87" s="9" t="s">
        <v>99</v>
      </c>
      <c r="C87" s="9" t="s">
        <v>100</v>
      </c>
      <c r="D87" s="9" t="s">
        <v>101</v>
      </c>
    </row>
    <row r="88" spans="1:4">
      <c r="A88" s="9" t="s">
        <v>163</v>
      </c>
      <c r="B88" s="9" t="s">
        <v>164</v>
      </c>
      <c r="C88" s="9" t="s">
        <v>165</v>
      </c>
      <c r="D88" s="9" t="s">
        <v>101</v>
      </c>
    </row>
    <row r="89" spans="1:4">
      <c r="A89" s="9" t="s">
        <v>259</v>
      </c>
      <c r="B89" s="9" t="s">
        <v>260</v>
      </c>
      <c r="C89" s="9" t="s">
        <v>261</v>
      </c>
      <c r="D89" s="9" t="s">
        <v>262</v>
      </c>
    </row>
    <row r="90" spans="1:4">
      <c r="A90" s="9" t="s">
        <v>244</v>
      </c>
      <c r="B90" s="9" t="s">
        <v>245</v>
      </c>
      <c r="C90" s="9" t="s">
        <v>112</v>
      </c>
      <c r="D90" s="9" t="s">
        <v>101</v>
      </c>
    </row>
    <row r="91" spans="1:4">
      <c r="A91" s="9" t="s">
        <v>96</v>
      </c>
      <c r="B91" s="9" t="s">
        <v>97</v>
      </c>
      <c r="C91" s="9" t="s">
        <v>89</v>
      </c>
      <c r="D91" s="9" t="s">
        <v>79</v>
      </c>
    </row>
    <row r="92" spans="1:4">
      <c r="A92" s="9" t="s">
        <v>174</v>
      </c>
      <c r="B92" s="9" t="s">
        <v>175</v>
      </c>
      <c r="C92" s="9" t="s">
        <v>176</v>
      </c>
      <c r="D92" s="9" t="s">
        <v>104</v>
      </c>
    </row>
  </sheetData>
  <sortState xmlns:xlrd2="http://schemas.microsoft.com/office/spreadsheetml/2017/richdata2" ref="A18:D92">
    <sortCondition ref="B18:B92"/>
  </sortState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3"/>
  <sheetViews>
    <sheetView zoomScale="150" zoomScaleNormal="150" workbookViewId="0">
      <selection activeCell="F7" sqref="F7"/>
    </sheetView>
  </sheetViews>
  <sheetFormatPr baseColWidth="10" defaultColWidth="9" defaultRowHeight="15"/>
  <cols>
    <col min="1" max="2" width="9" style="7"/>
    <col min="3" max="3" width="9.1640625" style="7" bestFit="1" customWidth="1"/>
    <col min="4" max="4" width="10.33203125" style="7" bestFit="1" customWidth="1"/>
    <col min="5" max="8" width="4.6640625" style="7" customWidth="1"/>
    <col min="9" max="16384" width="9" style="7"/>
  </cols>
  <sheetData>
    <row r="1" spans="1:11">
      <c r="A1" s="23" t="s">
        <v>8</v>
      </c>
      <c r="B1" s="24" t="s">
        <v>9</v>
      </c>
      <c r="C1" s="25" t="s">
        <v>11</v>
      </c>
      <c r="D1" s="26" t="s">
        <v>12</v>
      </c>
    </row>
    <row r="2" spans="1:11">
      <c r="A2" s="10" t="s">
        <v>15</v>
      </c>
      <c r="B2" s="10" t="s">
        <v>21</v>
      </c>
      <c r="C2" s="10">
        <v>16</v>
      </c>
      <c r="D2" s="11">
        <v>19269.685163999999</v>
      </c>
    </row>
    <row r="3" spans="1:11">
      <c r="A3" s="10" t="s">
        <v>18</v>
      </c>
      <c r="B3" s="10" t="s">
        <v>21</v>
      </c>
      <c r="C3" s="10">
        <v>40</v>
      </c>
      <c r="D3" s="11">
        <v>39465.169800000003</v>
      </c>
    </row>
    <row r="4" spans="1:11">
      <c r="A4" s="10" t="s">
        <v>20</v>
      </c>
      <c r="B4" s="10" t="s">
        <v>21</v>
      </c>
      <c r="C4" s="10">
        <v>20</v>
      </c>
      <c r="D4" s="11">
        <v>21015.944745000001</v>
      </c>
    </row>
    <row r="5" spans="1:11">
      <c r="A5" s="10" t="s">
        <v>15</v>
      </c>
      <c r="B5" s="10" t="s">
        <v>19</v>
      </c>
      <c r="C5" s="10">
        <v>20</v>
      </c>
      <c r="D5" s="11">
        <v>23710.258592999999</v>
      </c>
      <c r="I5" s="23" t="s">
        <v>8</v>
      </c>
      <c r="J5" s="24" t="s">
        <v>9</v>
      </c>
      <c r="K5" s="26" t="s">
        <v>12</v>
      </c>
    </row>
    <row r="6" spans="1:11">
      <c r="A6" s="10" t="s">
        <v>18</v>
      </c>
      <c r="B6" s="10" t="s">
        <v>19</v>
      </c>
      <c r="C6" s="10">
        <v>16</v>
      </c>
      <c r="D6" s="11">
        <v>20015.072431199998</v>
      </c>
      <c r="I6" s="10" t="s">
        <v>15</v>
      </c>
      <c r="J6" s="10" t="s">
        <v>16</v>
      </c>
      <c r="K6" s="10" cm="1">
        <f t="array" ref="K6">LOOKUP(1,0/(($A$2:$A$13=I6)*($B$2:$B$13=J6)),$D$2:$D$13)</f>
        <v>21423.94932</v>
      </c>
    </row>
    <row r="7" spans="1:11">
      <c r="A7" s="10" t="s">
        <v>20</v>
      </c>
      <c r="B7" s="10" t="s">
        <v>19</v>
      </c>
      <c r="C7" s="10">
        <v>200</v>
      </c>
      <c r="D7" s="11">
        <v>40014.12141</v>
      </c>
      <c r="I7" s="10" t="s">
        <v>15</v>
      </c>
      <c r="J7" s="10" t="s">
        <v>21</v>
      </c>
      <c r="K7" s="10" cm="1">
        <f t="array" ref="K7">LOOKUP(1,0/(($A$2:$A$13=I7)*($B$2:$B$13=J7)),$D$2:$D$13)</f>
        <v>19269.685163999999</v>
      </c>
    </row>
    <row r="8" spans="1:11">
      <c r="A8" s="10" t="s">
        <v>15</v>
      </c>
      <c r="B8" s="10" t="s">
        <v>16</v>
      </c>
      <c r="C8" s="10">
        <v>100</v>
      </c>
      <c r="D8" s="11">
        <v>21423.94932</v>
      </c>
      <c r="I8" s="10" t="s">
        <v>20</v>
      </c>
      <c r="J8" s="10" t="s">
        <v>19</v>
      </c>
      <c r="K8" s="10" cm="1">
        <f t="array" ref="K8">LOOKUP(1,0/(($A$2:$A$13=I8)*($B$2:$B$13=J8)),$D$2:$D$13)</f>
        <v>40014.12141</v>
      </c>
    </row>
    <row r="9" spans="1:11">
      <c r="A9" s="10" t="s">
        <v>18</v>
      </c>
      <c r="B9" s="10" t="s">
        <v>16</v>
      </c>
      <c r="C9" s="10">
        <v>200</v>
      </c>
      <c r="D9" s="11">
        <v>40014.12141</v>
      </c>
      <c r="I9" s="10" t="s">
        <v>18</v>
      </c>
      <c r="J9" s="10" t="s">
        <v>19</v>
      </c>
      <c r="K9" s="10" cm="1">
        <f t="array" ref="K9">LOOKUP(1,0/(($A$2:$A$13=I9)*($B$2:$B$13=J9)),$D$2:$D$13)</f>
        <v>20015.072431199998</v>
      </c>
    </row>
    <row r="10" spans="1:11">
      <c r="A10" s="10" t="s">
        <v>20</v>
      </c>
      <c r="B10" s="10" t="s">
        <v>16</v>
      </c>
      <c r="C10" s="10">
        <v>400</v>
      </c>
      <c r="D10" s="11">
        <v>84271.490399999995</v>
      </c>
    </row>
    <row r="11" spans="1:11">
      <c r="A11" s="10" t="s">
        <v>15</v>
      </c>
      <c r="B11" s="10" t="s">
        <v>265</v>
      </c>
      <c r="C11" s="10">
        <v>212</v>
      </c>
      <c r="D11" s="11">
        <v>48705.657414599991</v>
      </c>
    </row>
    <row r="12" spans="1:11">
      <c r="A12" s="10" t="s">
        <v>18</v>
      </c>
      <c r="B12" s="10" t="s">
        <v>265</v>
      </c>
      <c r="C12" s="10">
        <v>224</v>
      </c>
      <c r="D12" s="11">
        <v>47192.034624</v>
      </c>
    </row>
    <row r="13" spans="1:11">
      <c r="A13" s="10" t="s">
        <v>20</v>
      </c>
      <c r="B13" s="10" t="s">
        <v>265</v>
      </c>
      <c r="C13" s="10">
        <v>92</v>
      </c>
      <c r="D13" s="11">
        <v>21136.417368599999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EXCEL课件</vt:lpstr>
      <vt:lpstr>动态数组</vt:lpstr>
      <vt:lpstr>回顾统计函数</vt:lpstr>
      <vt:lpstr>认识数组</vt:lpstr>
      <vt:lpstr>数组应用实例</vt:lpstr>
      <vt:lpstr>FILTER函数</vt:lpstr>
      <vt:lpstr>UNIQUE函数</vt:lpstr>
      <vt:lpstr>使用LOOKUP函数</vt:lpstr>
      <vt:lpstr>LOOKUP函数精确匹配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a30517</cp:lastModifiedBy>
  <cp:lastPrinted>2009-11-19T09:11:05Z</cp:lastPrinted>
  <dcterms:created xsi:type="dcterms:W3CDTF">1996-12-17T01:32:42Z</dcterms:created>
  <dcterms:modified xsi:type="dcterms:W3CDTF">2026-08-13T14:05:07Z</dcterms:modified>
</cp:coreProperties>
</file>