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zimu/Documents/data-analytics/excel/"/>
    </mc:Choice>
  </mc:AlternateContent>
  <xr:revisionPtr revIDLastSave="0" documentId="13_ncr:1_{AB9286B4-2A79-0C40-9833-207671F66A2F}" xr6:coauthVersionLast="47" xr6:coauthVersionMax="47" xr10:uidLastSave="{00000000-0000-0000-0000-000000000000}"/>
  <bookViews>
    <workbookView xWindow="0" yWindow="660" windowWidth="29400" windowHeight="18460" tabRatio="708" xr2:uid="{00000000-000D-0000-FFFF-FFFF00000000}"/>
  </bookViews>
  <sheets>
    <sheet name="EXCEL课件" sheetId="1" r:id="rId1"/>
    <sheet name="日期与时间" sheetId="19" r:id="rId2"/>
  </sheets>
  <definedNames>
    <definedName name="_xlnm._FilterDatabase" localSheetId="1" hidden="1">日期与时间!$A$1:$C$4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19" l="1"/>
  <c r="N18" i="19"/>
  <c r="N10" i="19"/>
  <c r="N6" i="19"/>
  <c r="N2" i="19"/>
  <c r="K8" i="19"/>
  <c r="K7" i="19"/>
  <c r="K6" i="19"/>
  <c r="K2" i="19"/>
  <c r="F17" i="19"/>
  <c r="F16" i="19"/>
  <c r="F15" i="19"/>
  <c r="F14" i="19"/>
  <c r="F10" i="19"/>
  <c r="F9" i="19"/>
  <c r="F8" i="19"/>
  <c r="F7" i="19"/>
  <c r="G3" i="19"/>
  <c r="G2" i="19"/>
  <c r="E11" i="1"/>
  <c r="C17" i="19"/>
  <c r="C16" i="19"/>
  <c r="C13" i="19"/>
  <c r="C12" i="19"/>
  <c r="C8" i="19"/>
  <c r="C9" i="19"/>
  <c r="C7" i="19"/>
  <c r="C3" i="19"/>
  <c r="C4" i="19"/>
  <c r="C2" i="19"/>
</calcChain>
</file>

<file path=xl/sharedStrings.xml><?xml version="1.0" encoding="utf-8"?>
<sst xmlns="http://schemas.openxmlformats.org/spreadsheetml/2006/main" count="72" uniqueCount="59">
  <si>
    <t>一、</t>
  </si>
  <si>
    <t>认识时间和日期</t>
  </si>
  <si>
    <t>结果对应小时数折算成天的数值 同理小时数与分钟数一样 本质上是一个换算过程</t>
  </si>
  <si>
    <t>整数单元格格式如果是日期 则从1900年开始计算 注意格式转换</t>
  </si>
  <si>
    <t>二、</t>
  </si>
  <si>
    <t>日期函数</t>
  </si>
  <si>
    <t>2、Date函数</t>
  </si>
  <si>
    <t>3、Datedif函数</t>
  </si>
  <si>
    <t>Datedif(开始日期，结束日期，类型)</t>
  </si>
  <si>
    <t>"Y"时间段中的整年数</t>
  </si>
  <si>
    <t>"M"时间段中的整月数</t>
  </si>
  <si>
    <t>"D"时间段中的天数</t>
  </si>
  <si>
    <t>"MD"日期中天数的差。忽略日期中的月和年。</t>
  </si>
  <si>
    <t>"YM"日期中月数的差。忽略日期中的日和年。</t>
  </si>
  <si>
    <t>"YD"日期中天数的差。忽略日期中的年。</t>
  </si>
  <si>
    <t>"0000-00-00"在自定义格式中代表占位符</t>
  </si>
  <si>
    <t>Return_type</t>
  </si>
  <si>
    <t>开始时间</t>
  </si>
  <si>
    <t>分钟</t>
  </si>
  <si>
    <t>结束时间</t>
  </si>
  <si>
    <t>开始日期</t>
  </si>
  <si>
    <t>天数</t>
  </si>
  <si>
    <t>结束日期</t>
  </si>
  <si>
    <t>间隔天数</t>
  </si>
  <si>
    <t>间隔月份</t>
  </si>
  <si>
    <t>本月最后一天</t>
  </si>
  <si>
    <t>本月天数</t>
  </si>
  <si>
    <t>入职日期</t>
  </si>
  <si>
    <t>离职日期</t>
  </si>
  <si>
    <t>工龄</t>
  </si>
  <si>
    <t>间隔</t>
  </si>
  <si>
    <t>日期</t>
  </si>
  <si>
    <t>第几周</t>
  </si>
  <si>
    <t>周几</t>
  </si>
  <si>
    <t>第几周第几天</t>
  </si>
  <si>
    <t>假日期</t>
  </si>
  <si>
    <t>转化为日期</t>
  </si>
  <si>
    <t>星期从星期一开始。星期内的天数从 1 到 7 记数</t>
  </si>
  <si>
    <t>星期从星期日开始。星期内的天数从 1 到 7 记数</t>
  </si>
  <si>
    <t>转为年份</t>
    <phoneticPr fontId="6" type="noConversion"/>
  </si>
  <si>
    <t>日期格式转换出现######是因为超过最大日期范围导致</t>
    <phoneticPr fontId="6" type="noConversion"/>
  </si>
  <si>
    <t>持续时间(分钟)</t>
  </si>
  <si>
    <t>Excel把整数1定义为1天（24小时）使用整数/24代表1天的小时数数值</t>
    <phoneticPr fontId="6" type="noConversion"/>
  </si>
  <si>
    <t>1、Year、Month、Day、Today函数</t>
    <phoneticPr fontId="6" type="noConversion"/>
  </si>
  <si>
    <t>三个函数用来拆分日期 YEAR/MONTH/DAY(s_number)</t>
    <phoneticPr fontId="6" type="noConversion"/>
  </si>
  <si>
    <t>DATE(year,month,day)</t>
    <phoneticPr fontId="6" type="noConversion"/>
  </si>
  <si>
    <t>组合日期函数</t>
    <phoneticPr fontId="6" type="noConversion"/>
  </si>
  <si>
    <t>4、Weeknum函数</t>
    <phoneticPr fontId="6" type="noConversion"/>
  </si>
  <si>
    <t>5、Weekday函数</t>
    <phoneticPr fontId="6" type="noConversion"/>
  </si>
  <si>
    <t>年内的第几周</t>
    <phoneticPr fontId="6" type="noConversion"/>
  </si>
  <si>
    <t>周内的周几</t>
    <phoneticPr fontId="6" type="noConversion"/>
  </si>
  <si>
    <t>6、Text函数</t>
    <phoneticPr fontId="6" type="noConversion"/>
  </si>
  <si>
    <t>TEXT(value,format_text)</t>
    <phoneticPr fontId="6" type="noConversion"/>
  </si>
  <si>
    <t>格式化函数 将数字转换为指定格式的文本</t>
  </si>
  <si>
    <t>EDATE(start_date, months)</t>
    <phoneticPr fontId="6" type="noConversion"/>
  </si>
  <si>
    <t>偏移月份函数</t>
    <phoneticPr fontId="6" type="noConversion"/>
  </si>
  <si>
    <t>7、Edate、Eomonth函数</t>
    <phoneticPr fontId="6" type="noConversion"/>
  </si>
  <si>
    <t>EOMONTH(start_date, months)</t>
    <phoneticPr fontId="6" type="noConversion"/>
  </si>
  <si>
    <t>返回某个月份最后一天的序列号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</si>
</sst>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h:mm;@"/>
    <numFmt numFmtId="177" formatCode="yyyy\-mm\-dd;@"/>
    <numFmt numFmtId="178" formatCode="[$-804]aaa;@"/>
    <numFmt numFmtId="179" formatCode="yyyy/m/d;@"/>
  </numFmts>
  <fonts count="10">
    <font>
      <sz val="12"/>
      <name val="宋体"/>
      <charset val="134"/>
    </font>
    <font>
      <sz val="10"/>
      <name val="宋体"/>
      <family val="3"/>
      <charset val="134"/>
    </font>
    <font>
      <sz val="10"/>
      <color indexed="10"/>
      <name val="宋体"/>
      <family val="3"/>
      <charset val="134"/>
    </font>
    <font>
      <sz val="10"/>
      <color rgb="FFFF0000"/>
      <name val="宋体"/>
      <family val="3"/>
      <charset val="134"/>
    </font>
    <font>
      <u/>
      <sz val="12"/>
      <color indexed="12"/>
      <name val="宋体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b/>
      <sz val="10"/>
      <color theme="0"/>
      <name val="宋体"/>
      <family val="3"/>
      <charset val="134"/>
    </font>
    <font>
      <sz val="10"/>
      <color theme="3" tint="-0.249977111117893"/>
      <name val="宋体"/>
      <family val="3"/>
      <charset val="134"/>
    </font>
    <font>
      <sz val="12"/>
      <color theme="3" tint="-0.249977111117893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</cellStyleXfs>
  <cellXfs count="25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0" fillId="0" borderId="1" xfId="0" applyBorder="1" applyProtection="1">
      <protection locked="0"/>
    </xf>
    <xf numFmtId="0" fontId="1" fillId="0" borderId="0" xfId="0" applyFont="1" applyProtection="1">
      <protection locked="0"/>
    </xf>
    <xf numFmtId="0" fontId="0" fillId="0" borderId="0" xfId="0" applyProtection="1">
      <protection locked="0"/>
    </xf>
    <xf numFmtId="0" fontId="2" fillId="0" borderId="0" xfId="0" applyFont="1" applyProtection="1">
      <protection locked="0"/>
    </xf>
    <xf numFmtId="0" fontId="3" fillId="0" borderId="0" xfId="0" applyFont="1" applyProtection="1">
      <protection locked="0"/>
    </xf>
    <xf numFmtId="0" fontId="4" fillId="0" borderId="0" xfId="1" applyAlignment="1" applyProtection="1">
      <protection locked="0"/>
    </xf>
    <xf numFmtId="0" fontId="5" fillId="0" borderId="0" xfId="0" applyFont="1" applyProtection="1">
      <protection locked="0"/>
    </xf>
    <xf numFmtId="178" fontId="1" fillId="0" borderId="0" xfId="0" applyNumberFormat="1" applyFont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/>
    <xf numFmtId="0" fontId="8" fillId="0" borderId="0" xfId="0" applyFont="1" applyProtection="1">
      <protection locked="0"/>
    </xf>
    <xf numFmtId="177" fontId="8" fillId="0" borderId="0" xfId="0" applyNumberFormat="1" applyFont="1" applyProtection="1">
      <protection locked="0"/>
    </xf>
    <xf numFmtId="14" fontId="8" fillId="0" borderId="0" xfId="0" applyNumberFormat="1" applyFont="1" applyProtection="1">
      <protection locked="0"/>
    </xf>
    <xf numFmtId="179" fontId="8" fillId="0" borderId="0" xfId="0" applyNumberFormat="1" applyFont="1" applyProtection="1">
      <protection locked="0"/>
    </xf>
    <xf numFmtId="0" fontId="8" fillId="0" borderId="0" xfId="0" quotePrefix="1" applyFont="1"/>
    <xf numFmtId="0" fontId="8" fillId="0" borderId="0" xfId="0" applyFont="1"/>
    <xf numFmtId="0" fontId="9" fillId="0" borderId="0" xfId="0" applyFont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60"/>
  </sheetPr>
  <dimension ref="A2:H49"/>
  <sheetViews>
    <sheetView tabSelected="1" zoomScale="150" zoomScaleNormal="150" workbookViewId="0">
      <selection activeCell="H13" sqref="H13"/>
    </sheetView>
  </sheetViews>
  <sheetFormatPr baseColWidth="10" defaultColWidth="9" defaultRowHeight="15"/>
  <cols>
    <col min="1" max="2" width="9" style="10"/>
    <col min="3" max="3" width="10.33203125" style="10" bestFit="1" customWidth="1"/>
    <col min="4" max="4" width="16.6640625" style="10" customWidth="1"/>
    <col min="5" max="6" width="9" style="10"/>
    <col min="7" max="7" width="9.33203125" style="10" customWidth="1"/>
    <col min="8" max="8" width="10.33203125" style="10" customWidth="1"/>
    <col min="9" max="9" width="10.33203125" style="10" bestFit="1" customWidth="1"/>
    <col min="10" max="16384" width="9" style="10"/>
  </cols>
  <sheetData>
    <row r="2" spans="1:5" s="8" customFormat="1"/>
    <row r="4" spans="1:5" s="9" customFormat="1" ht="14">
      <c r="A4" s="9" t="s">
        <v>0</v>
      </c>
      <c r="B4" s="11" t="s">
        <v>1</v>
      </c>
    </row>
    <row r="5" spans="1:5" s="9" customFormat="1" ht="14">
      <c r="C5" s="18" t="s">
        <v>42</v>
      </c>
      <c r="D5" s="18"/>
      <c r="E5" s="18"/>
    </row>
    <row r="6" spans="1:5" s="9" customFormat="1" ht="14">
      <c r="C6" s="18" t="s">
        <v>2</v>
      </c>
      <c r="D6" s="18"/>
      <c r="E6" s="18"/>
    </row>
    <row r="7" spans="1:5" s="9" customFormat="1" ht="14">
      <c r="C7" s="18" t="s">
        <v>3</v>
      </c>
      <c r="D7" s="18"/>
      <c r="E7" s="18"/>
    </row>
    <row r="8" spans="1:5" s="9" customFormat="1" ht="14">
      <c r="C8" s="18"/>
      <c r="D8" s="18"/>
      <c r="E8" s="18"/>
    </row>
    <row r="9" spans="1:5" s="9" customFormat="1" ht="14">
      <c r="C9" s="18" t="s">
        <v>40</v>
      </c>
      <c r="D9" s="18"/>
      <c r="E9" s="18"/>
    </row>
    <row r="10" spans="1:5" s="9" customFormat="1" ht="14">
      <c r="C10" s="19">
        <v>1</v>
      </c>
      <c r="D10" s="20">
        <v>2958465</v>
      </c>
      <c r="E10" s="18"/>
    </row>
    <row r="11" spans="1:5" s="9" customFormat="1" ht="14">
      <c r="C11" s="18">
        <v>1</v>
      </c>
      <c r="D11" s="18">
        <v>2958465</v>
      </c>
      <c r="E11" s="21">
        <f>D11+1</f>
        <v>2958466</v>
      </c>
    </row>
    <row r="12" spans="1:5" s="9" customFormat="1" ht="14"/>
    <row r="13" spans="1:5" s="9" customFormat="1" ht="14"/>
    <row r="14" spans="1:5" s="9" customFormat="1" ht="14">
      <c r="A14" s="9" t="s">
        <v>4</v>
      </c>
      <c r="B14" s="11" t="s">
        <v>5</v>
      </c>
    </row>
    <row r="15" spans="1:5" s="9" customFormat="1" ht="14"/>
    <row r="16" spans="1:5" s="9" customFormat="1" ht="14">
      <c r="B16" s="9" t="s">
        <v>43</v>
      </c>
    </row>
    <row r="17" spans="1:8" s="9" customFormat="1" ht="14">
      <c r="C17" s="18" t="s">
        <v>44</v>
      </c>
    </row>
    <row r="18" spans="1:8" s="9" customFormat="1" ht="14"/>
    <row r="19" spans="1:8" s="9" customFormat="1">
      <c r="B19" s="9" t="s">
        <v>6</v>
      </c>
      <c r="G19" s="13"/>
    </row>
    <row r="20" spans="1:8" s="9" customFormat="1">
      <c r="C20" s="18" t="s">
        <v>45</v>
      </c>
      <c r="D20" s="18"/>
      <c r="E20" s="18" t="s">
        <v>46</v>
      </c>
      <c r="G20" s="13"/>
    </row>
    <row r="21" spans="1:8" s="9" customFormat="1">
      <c r="G21" s="13"/>
    </row>
    <row r="22" spans="1:8" s="9" customFormat="1">
      <c r="B22" s="9" t="s">
        <v>7</v>
      </c>
      <c r="G22" s="13"/>
      <c r="H22" s="12"/>
    </row>
    <row r="23" spans="1:8" s="9" customFormat="1">
      <c r="C23" s="22" t="s">
        <v>8</v>
      </c>
      <c r="G23" s="13"/>
    </row>
    <row r="24" spans="1:8" s="9" customFormat="1">
      <c r="B24"/>
      <c r="C24" s="23" t="s">
        <v>9</v>
      </c>
      <c r="G24" s="13"/>
    </row>
    <row r="25" spans="1:8" s="9" customFormat="1">
      <c r="B25"/>
      <c r="C25" s="23" t="s">
        <v>10</v>
      </c>
      <c r="G25" s="13"/>
    </row>
    <row r="26" spans="1:8" s="9" customFormat="1">
      <c r="B26"/>
      <c r="C26" s="23" t="s">
        <v>11</v>
      </c>
      <c r="G26" s="13"/>
    </row>
    <row r="27" spans="1:8" s="9" customFormat="1">
      <c r="B27"/>
      <c r="C27" s="23" t="s">
        <v>12</v>
      </c>
      <c r="G27" s="13"/>
    </row>
    <row r="28" spans="1:8" s="9" customFormat="1">
      <c r="B28"/>
      <c r="C28" s="23" t="s">
        <v>13</v>
      </c>
    </row>
    <row r="29" spans="1:8" s="9" customFormat="1">
      <c r="B29"/>
      <c r="C29" s="23" t="s">
        <v>14</v>
      </c>
    </row>
    <row r="30" spans="1:8">
      <c r="A30" s="9"/>
      <c r="B30" s="9"/>
      <c r="C30" s="9"/>
      <c r="E30" s="9"/>
    </row>
    <row r="31" spans="1:8">
      <c r="A31" s="9"/>
      <c r="B31" s="9" t="s">
        <v>47</v>
      </c>
      <c r="C31" s="9"/>
    </row>
    <row r="32" spans="1:8">
      <c r="A32" s="9"/>
      <c r="B32" s="9"/>
      <c r="C32" s="18" t="s">
        <v>49</v>
      </c>
      <c r="H32" s="9"/>
    </row>
    <row r="33" spans="2:6">
      <c r="C33" s="23" t="s">
        <v>16</v>
      </c>
      <c r="D33" s="24"/>
      <c r="E33"/>
      <c r="F33"/>
    </row>
    <row r="34" spans="2:6">
      <c r="C34" s="23">
        <v>1</v>
      </c>
      <c r="D34" s="23" t="s">
        <v>38</v>
      </c>
      <c r="E34"/>
      <c r="F34"/>
    </row>
    <row r="35" spans="2:6">
      <c r="C35" s="23">
        <v>2</v>
      </c>
      <c r="D35" s="23" t="s">
        <v>37</v>
      </c>
      <c r="E35"/>
      <c r="F35"/>
    </row>
    <row r="37" spans="2:6">
      <c r="B37" s="9" t="s">
        <v>48</v>
      </c>
    </row>
    <row r="38" spans="2:6">
      <c r="C38" s="18" t="s">
        <v>50</v>
      </c>
    </row>
    <row r="39" spans="2:6">
      <c r="C39" s="14"/>
    </row>
    <row r="40" spans="2:6">
      <c r="B40" s="9" t="s">
        <v>51</v>
      </c>
    </row>
    <row r="41" spans="2:6">
      <c r="B41" s="9"/>
      <c r="C41" s="18" t="s">
        <v>53</v>
      </c>
    </row>
    <row r="42" spans="2:6">
      <c r="C42" s="18" t="s">
        <v>52</v>
      </c>
    </row>
    <row r="43" spans="2:6">
      <c r="C43" s="18" t="s">
        <v>15</v>
      </c>
    </row>
    <row r="45" spans="2:6">
      <c r="B45" s="9" t="s">
        <v>56</v>
      </c>
    </row>
    <row r="46" spans="2:6">
      <c r="C46" s="18" t="s">
        <v>55</v>
      </c>
    </row>
    <row r="47" spans="2:6">
      <c r="C47" s="18" t="s">
        <v>54</v>
      </c>
    </row>
    <row r="48" spans="2:6">
      <c r="C48" s="18" t="s">
        <v>58</v>
      </c>
    </row>
    <row r="49" spans="3:3">
      <c r="C49" s="18" t="s">
        <v>57</v>
      </c>
    </row>
  </sheetData>
  <phoneticPr fontId="6" type="noConversion"/>
  <pageMargins left="0.74803149606299202" right="0.74803149606299202" top="0.98425196850393704" bottom="0.98425196850393704" header="0.511811023622047" footer="0.511811023622047"/>
  <pageSetup paperSize="9" orientation="portrait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8"/>
  <sheetViews>
    <sheetView zoomScale="150" zoomScaleNormal="150" workbookViewId="0">
      <selection activeCell="B2" sqref="B2"/>
    </sheetView>
  </sheetViews>
  <sheetFormatPr baseColWidth="10" defaultColWidth="8.83203125" defaultRowHeight="15" customHeight="1"/>
  <cols>
    <col min="1" max="1" width="14" style="3" customWidth="1"/>
    <col min="2" max="2" width="9.5" style="3" customWidth="1"/>
    <col min="3" max="3" width="13.83203125" style="3" bestFit="1" customWidth="1"/>
    <col min="4" max="5" width="9.33203125" style="3" customWidth="1"/>
    <col min="6" max="6" width="13.33203125" style="3" customWidth="1"/>
    <col min="7" max="7" width="10.33203125" style="3" bestFit="1" customWidth="1"/>
    <col min="8" max="8" width="9" style="3"/>
    <col min="9" max="10" width="9.5" style="3" bestFit="1" customWidth="1"/>
    <col min="11" max="11" width="10.33203125" style="3" bestFit="1" customWidth="1"/>
    <col min="12" max="12" width="9" style="3"/>
    <col min="13" max="13" width="9.5" style="3" bestFit="1" customWidth="1"/>
    <col min="14" max="14" width="12" style="3" bestFit="1" customWidth="1"/>
    <col min="15" max="214" width="9" style="3"/>
    <col min="215" max="215" width="3" style="3" customWidth="1"/>
    <col min="216" max="216" width="12.1640625" style="3" customWidth="1"/>
    <col min="217" max="217" width="9.6640625" style="3" customWidth="1"/>
    <col min="218" max="219" width="7.5" style="3" customWidth="1"/>
    <col min="220" max="220" width="4.6640625" style="3" customWidth="1"/>
    <col min="221" max="224" width="9" style="3"/>
    <col min="225" max="226" width="11.1640625" style="3" customWidth="1"/>
    <col min="227" max="228" width="8" style="3" customWidth="1"/>
    <col min="229" max="229" width="4.6640625" style="3" customWidth="1"/>
    <col min="230" max="231" width="11.1640625" style="3" customWidth="1"/>
    <col min="232" max="470" width="9" style="3"/>
    <col min="471" max="471" width="3" style="3" customWidth="1"/>
    <col min="472" max="472" width="12.1640625" style="3" customWidth="1"/>
    <col min="473" max="473" width="9.6640625" style="3" customWidth="1"/>
    <col min="474" max="475" width="7.5" style="3" customWidth="1"/>
    <col min="476" max="476" width="4.6640625" style="3" customWidth="1"/>
    <col min="477" max="480" width="9" style="3"/>
    <col min="481" max="482" width="11.1640625" style="3" customWidth="1"/>
    <col min="483" max="484" width="8" style="3" customWidth="1"/>
    <col min="485" max="485" width="4.6640625" style="3" customWidth="1"/>
    <col min="486" max="487" width="11.1640625" style="3" customWidth="1"/>
    <col min="488" max="726" width="9" style="3"/>
    <col min="727" max="727" width="3" style="3" customWidth="1"/>
    <col min="728" max="728" width="12.1640625" style="3" customWidth="1"/>
    <col min="729" max="729" width="9.6640625" style="3" customWidth="1"/>
    <col min="730" max="731" width="7.5" style="3" customWidth="1"/>
    <col min="732" max="732" width="4.6640625" style="3" customWidth="1"/>
    <col min="733" max="736" width="9" style="3"/>
    <col min="737" max="738" width="11.1640625" style="3" customWidth="1"/>
    <col min="739" max="740" width="8" style="3" customWidth="1"/>
    <col min="741" max="741" width="4.6640625" style="3" customWidth="1"/>
    <col min="742" max="743" width="11.1640625" style="3" customWidth="1"/>
    <col min="744" max="982" width="9" style="3"/>
    <col min="983" max="983" width="3" style="3" customWidth="1"/>
    <col min="984" max="984" width="12.1640625" style="3" customWidth="1"/>
    <col min="985" max="985" width="9.6640625" style="3" customWidth="1"/>
    <col min="986" max="987" width="7.5" style="3" customWidth="1"/>
    <col min="988" max="988" width="4.6640625" style="3" customWidth="1"/>
    <col min="989" max="992" width="9" style="3"/>
    <col min="993" max="994" width="11.1640625" style="3" customWidth="1"/>
    <col min="995" max="996" width="8" style="3" customWidth="1"/>
    <col min="997" max="997" width="4.6640625" style="3" customWidth="1"/>
    <col min="998" max="999" width="11.1640625" style="3" customWidth="1"/>
    <col min="1000" max="1238" width="9" style="3"/>
    <col min="1239" max="1239" width="3" style="3" customWidth="1"/>
    <col min="1240" max="1240" width="12.1640625" style="3" customWidth="1"/>
    <col min="1241" max="1241" width="9.6640625" style="3" customWidth="1"/>
    <col min="1242" max="1243" width="7.5" style="3" customWidth="1"/>
    <col min="1244" max="1244" width="4.6640625" style="3" customWidth="1"/>
    <col min="1245" max="1248" width="9" style="3"/>
    <col min="1249" max="1250" width="11.1640625" style="3" customWidth="1"/>
    <col min="1251" max="1252" width="8" style="3" customWidth="1"/>
    <col min="1253" max="1253" width="4.6640625" style="3" customWidth="1"/>
    <col min="1254" max="1255" width="11.1640625" style="3" customWidth="1"/>
    <col min="1256" max="1494" width="9" style="3"/>
    <col min="1495" max="1495" width="3" style="3" customWidth="1"/>
    <col min="1496" max="1496" width="12.1640625" style="3" customWidth="1"/>
    <col min="1497" max="1497" width="9.6640625" style="3" customWidth="1"/>
    <col min="1498" max="1499" width="7.5" style="3" customWidth="1"/>
    <col min="1500" max="1500" width="4.6640625" style="3" customWidth="1"/>
    <col min="1501" max="1504" width="9" style="3"/>
    <col min="1505" max="1506" width="11.1640625" style="3" customWidth="1"/>
    <col min="1507" max="1508" width="8" style="3" customWidth="1"/>
    <col min="1509" max="1509" width="4.6640625" style="3" customWidth="1"/>
    <col min="1510" max="1511" width="11.1640625" style="3" customWidth="1"/>
    <col min="1512" max="1750" width="9" style="3"/>
    <col min="1751" max="1751" width="3" style="3" customWidth="1"/>
    <col min="1752" max="1752" width="12.1640625" style="3" customWidth="1"/>
    <col min="1753" max="1753" width="9.6640625" style="3" customWidth="1"/>
    <col min="1754" max="1755" width="7.5" style="3" customWidth="1"/>
    <col min="1756" max="1756" width="4.6640625" style="3" customWidth="1"/>
    <col min="1757" max="1760" width="9" style="3"/>
    <col min="1761" max="1762" width="11.1640625" style="3" customWidth="1"/>
    <col min="1763" max="1764" width="8" style="3" customWidth="1"/>
    <col min="1765" max="1765" width="4.6640625" style="3" customWidth="1"/>
    <col min="1766" max="1767" width="11.1640625" style="3" customWidth="1"/>
    <col min="1768" max="2006" width="9" style="3"/>
    <col min="2007" max="2007" width="3" style="3" customWidth="1"/>
    <col min="2008" max="2008" width="12.1640625" style="3" customWidth="1"/>
    <col min="2009" max="2009" width="9.6640625" style="3" customWidth="1"/>
    <col min="2010" max="2011" width="7.5" style="3" customWidth="1"/>
    <col min="2012" max="2012" width="4.6640625" style="3" customWidth="1"/>
    <col min="2013" max="2016" width="9" style="3"/>
    <col min="2017" max="2018" width="11.1640625" style="3" customWidth="1"/>
    <col min="2019" max="2020" width="8" style="3" customWidth="1"/>
    <col min="2021" max="2021" width="4.6640625" style="3" customWidth="1"/>
    <col min="2022" max="2023" width="11.1640625" style="3" customWidth="1"/>
    <col min="2024" max="2262" width="9" style="3"/>
    <col min="2263" max="2263" width="3" style="3" customWidth="1"/>
    <col min="2264" max="2264" width="12.1640625" style="3" customWidth="1"/>
    <col min="2265" max="2265" width="9.6640625" style="3" customWidth="1"/>
    <col min="2266" max="2267" width="7.5" style="3" customWidth="1"/>
    <col min="2268" max="2268" width="4.6640625" style="3" customWidth="1"/>
    <col min="2269" max="2272" width="9" style="3"/>
    <col min="2273" max="2274" width="11.1640625" style="3" customWidth="1"/>
    <col min="2275" max="2276" width="8" style="3" customWidth="1"/>
    <col min="2277" max="2277" width="4.6640625" style="3" customWidth="1"/>
    <col min="2278" max="2279" width="11.1640625" style="3" customWidth="1"/>
    <col min="2280" max="2518" width="9" style="3"/>
    <col min="2519" max="2519" width="3" style="3" customWidth="1"/>
    <col min="2520" max="2520" width="12.1640625" style="3" customWidth="1"/>
    <col min="2521" max="2521" width="9.6640625" style="3" customWidth="1"/>
    <col min="2522" max="2523" width="7.5" style="3" customWidth="1"/>
    <col min="2524" max="2524" width="4.6640625" style="3" customWidth="1"/>
    <col min="2525" max="2528" width="9" style="3"/>
    <col min="2529" max="2530" width="11.1640625" style="3" customWidth="1"/>
    <col min="2531" max="2532" width="8" style="3" customWidth="1"/>
    <col min="2533" max="2533" width="4.6640625" style="3" customWidth="1"/>
    <col min="2534" max="2535" width="11.1640625" style="3" customWidth="1"/>
    <col min="2536" max="2774" width="9" style="3"/>
    <col min="2775" max="2775" width="3" style="3" customWidth="1"/>
    <col min="2776" max="2776" width="12.1640625" style="3" customWidth="1"/>
    <col min="2777" max="2777" width="9.6640625" style="3" customWidth="1"/>
    <col min="2778" max="2779" width="7.5" style="3" customWidth="1"/>
    <col min="2780" max="2780" width="4.6640625" style="3" customWidth="1"/>
    <col min="2781" max="2784" width="9" style="3"/>
    <col min="2785" max="2786" width="11.1640625" style="3" customWidth="1"/>
    <col min="2787" max="2788" width="8" style="3" customWidth="1"/>
    <col min="2789" max="2789" width="4.6640625" style="3" customWidth="1"/>
    <col min="2790" max="2791" width="11.1640625" style="3" customWidth="1"/>
    <col min="2792" max="3030" width="9" style="3"/>
    <col min="3031" max="3031" width="3" style="3" customWidth="1"/>
    <col min="3032" max="3032" width="12.1640625" style="3" customWidth="1"/>
    <col min="3033" max="3033" width="9.6640625" style="3" customWidth="1"/>
    <col min="3034" max="3035" width="7.5" style="3" customWidth="1"/>
    <col min="3036" max="3036" width="4.6640625" style="3" customWidth="1"/>
    <col min="3037" max="3040" width="9" style="3"/>
    <col min="3041" max="3042" width="11.1640625" style="3" customWidth="1"/>
    <col min="3043" max="3044" width="8" style="3" customWidth="1"/>
    <col min="3045" max="3045" width="4.6640625" style="3" customWidth="1"/>
    <col min="3046" max="3047" width="11.1640625" style="3" customWidth="1"/>
    <col min="3048" max="3286" width="9" style="3"/>
    <col min="3287" max="3287" width="3" style="3" customWidth="1"/>
    <col min="3288" max="3288" width="12.1640625" style="3" customWidth="1"/>
    <col min="3289" max="3289" width="9.6640625" style="3" customWidth="1"/>
    <col min="3290" max="3291" width="7.5" style="3" customWidth="1"/>
    <col min="3292" max="3292" width="4.6640625" style="3" customWidth="1"/>
    <col min="3293" max="3296" width="9" style="3"/>
    <col min="3297" max="3298" width="11.1640625" style="3" customWidth="1"/>
    <col min="3299" max="3300" width="8" style="3" customWidth="1"/>
    <col min="3301" max="3301" width="4.6640625" style="3" customWidth="1"/>
    <col min="3302" max="3303" width="11.1640625" style="3" customWidth="1"/>
    <col min="3304" max="3542" width="9" style="3"/>
    <col min="3543" max="3543" width="3" style="3" customWidth="1"/>
    <col min="3544" max="3544" width="12.1640625" style="3" customWidth="1"/>
    <col min="3545" max="3545" width="9.6640625" style="3" customWidth="1"/>
    <col min="3546" max="3547" width="7.5" style="3" customWidth="1"/>
    <col min="3548" max="3548" width="4.6640625" style="3" customWidth="1"/>
    <col min="3549" max="3552" width="9" style="3"/>
    <col min="3553" max="3554" width="11.1640625" style="3" customWidth="1"/>
    <col min="3555" max="3556" width="8" style="3" customWidth="1"/>
    <col min="3557" max="3557" width="4.6640625" style="3" customWidth="1"/>
    <col min="3558" max="3559" width="11.1640625" style="3" customWidth="1"/>
    <col min="3560" max="3798" width="9" style="3"/>
    <col min="3799" max="3799" width="3" style="3" customWidth="1"/>
    <col min="3800" max="3800" width="12.1640625" style="3" customWidth="1"/>
    <col min="3801" max="3801" width="9.6640625" style="3" customWidth="1"/>
    <col min="3802" max="3803" width="7.5" style="3" customWidth="1"/>
    <col min="3804" max="3804" width="4.6640625" style="3" customWidth="1"/>
    <col min="3805" max="3808" width="9" style="3"/>
    <col min="3809" max="3810" width="11.1640625" style="3" customWidth="1"/>
    <col min="3811" max="3812" width="8" style="3" customWidth="1"/>
    <col min="3813" max="3813" width="4.6640625" style="3" customWidth="1"/>
    <col min="3814" max="3815" width="11.1640625" style="3" customWidth="1"/>
    <col min="3816" max="4054" width="9" style="3"/>
    <col min="4055" max="4055" width="3" style="3" customWidth="1"/>
    <col min="4056" max="4056" width="12.1640625" style="3" customWidth="1"/>
    <col min="4057" max="4057" width="9.6640625" style="3" customWidth="1"/>
    <col min="4058" max="4059" width="7.5" style="3" customWidth="1"/>
    <col min="4060" max="4060" width="4.6640625" style="3" customWidth="1"/>
    <col min="4061" max="4064" width="9" style="3"/>
    <col min="4065" max="4066" width="11.1640625" style="3" customWidth="1"/>
    <col min="4067" max="4068" width="8" style="3" customWidth="1"/>
    <col min="4069" max="4069" width="4.6640625" style="3" customWidth="1"/>
    <col min="4070" max="4071" width="11.1640625" style="3" customWidth="1"/>
    <col min="4072" max="4310" width="9" style="3"/>
    <col min="4311" max="4311" width="3" style="3" customWidth="1"/>
    <col min="4312" max="4312" width="12.1640625" style="3" customWidth="1"/>
    <col min="4313" max="4313" width="9.6640625" style="3" customWidth="1"/>
    <col min="4314" max="4315" width="7.5" style="3" customWidth="1"/>
    <col min="4316" max="4316" width="4.6640625" style="3" customWidth="1"/>
    <col min="4317" max="4320" width="9" style="3"/>
    <col min="4321" max="4322" width="11.1640625" style="3" customWidth="1"/>
    <col min="4323" max="4324" width="8" style="3" customWidth="1"/>
    <col min="4325" max="4325" width="4.6640625" style="3" customWidth="1"/>
    <col min="4326" max="4327" width="11.1640625" style="3" customWidth="1"/>
    <col min="4328" max="4566" width="9" style="3"/>
    <col min="4567" max="4567" width="3" style="3" customWidth="1"/>
    <col min="4568" max="4568" width="12.1640625" style="3" customWidth="1"/>
    <col min="4569" max="4569" width="9.6640625" style="3" customWidth="1"/>
    <col min="4570" max="4571" width="7.5" style="3" customWidth="1"/>
    <col min="4572" max="4572" width="4.6640625" style="3" customWidth="1"/>
    <col min="4573" max="4576" width="9" style="3"/>
    <col min="4577" max="4578" width="11.1640625" style="3" customWidth="1"/>
    <col min="4579" max="4580" width="8" style="3" customWidth="1"/>
    <col min="4581" max="4581" width="4.6640625" style="3" customWidth="1"/>
    <col min="4582" max="4583" width="11.1640625" style="3" customWidth="1"/>
    <col min="4584" max="4822" width="9" style="3"/>
    <col min="4823" max="4823" width="3" style="3" customWidth="1"/>
    <col min="4824" max="4824" width="12.1640625" style="3" customWidth="1"/>
    <col min="4825" max="4825" width="9.6640625" style="3" customWidth="1"/>
    <col min="4826" max="4827" width="7.5" style="3" customWidth="1"/>
    <col min="4828" max="4828" width="4.6640625" style="3" customWidth="1"/>
    <col min="4829" max="4832" width="9" style="3"/>
    <col min="4833" max="4834" width="11.1640625" style="3" customWidth="1"/>
    <col min="4835" max="4836" width="8" style="3" customWidth="1"/>
    <col min="4837" max="4837" width="4.6640625" style="3" customWidth="1"/>
    <col min="4838" max="4839" width="11.1640625" style="3" customWidth="1"/>
    <col min="4840" max="5078" width="9" style="3"/>
    <col min="5079" max="5079" width="3" style="3" customWidth="1"/>
    <col min="5080" max="5080" width="12.1640625" style="3" customWidth="1"/>
    <col min="5081" max="5081" width="9.6640625" style="3" customWidth="1"/>
    <col min="5082" max="5083" width="7.5" style="3" customWidth="1"/>
    <col min="5084" max="5084" width="4.6640625" style="3" customWidth="1"/>
    <col min="5085" max="5088" width="9" style="3"/>
    <col min="5089" max="5090" width="11.1640625" style="3" customWidth="1"/>
    <col min="5091" max="5092" width="8" style="3" customWidth="1"/>
    <col min="5093" max="5093" width="4.6640625" style="3" customWidth="1"/>
    <col min="5094" max="5095" width="11.1640625" style="3" customWidth="1"/>
    <col min="5096" max="5334" width="9" style="3"/>
    <col min="5335" max="5335" width="3" style="3" customWidth="1"/>
    <col min="5336" max="5336" width="12.1640625" style="3" customWidth="1"/>
    <col min="5337" max="5337" width="9.6640625" style="3" customWidth="1"/>
    <col min="5338" max="5339" width="7.5" style="3" customWidth="1"/>
    <col min="5340" max="5340" width="4.6640625" style="3" customWidth="1"/>
    <col min="5341" max="5344" width="9" style="3"/>
    <col min="5345" max="5346" width="11.1640625" style="3" customWidth="1"/>
    <col min="5347" max="5348" width="8" style="3" customWidth="1"/>
    <col min="5349" max="5349" width="4.6640625" style="3" customWidth="1"/>
    <col min="5350" max="5351" width="11.1640625" style="3" customWidth="1"/>
    <col min="5352" max="5590" width="9" style="3"/>
    <col min="5591" max="5591" width="3" style="3" customWidth="1"/>
    <col min="5592" max="5592" width="12.1640625" style="3" customWidth="1"/>
    <col min="5593" max="5593" width="9.6640625" style="3" customWidth="1"/>
    <col min="5594" max="5595" width="7.5" style="3" customWidth="1"/>
    <col min="5596" max="5596" width="4.6640625" style="3" customWidth="1"/>
    <col min="5597" max="5600" width="9" style="3"/>
    <col min="5601" max="5602" width="11.1640625" style="3" customWidth="1"/>
    <col min="5603" max="5604" width="8" style="3" customWidth="1"/>
    <col min="5605" max="5605" width="4.6640625" style="3" customWidth="1"/>
    <col min="5606" max="5607" width="11.1640625" style="3" customWidth="1"/>
    <col min="5608" max="5846" width="9" style="3"/>
    <col min="5847" max="5847" width="3" style="3" customWidth="1"/>
    <col min="5848" max="5848" width="12.1640625" style="3" customWidth="1"/>
    <col min="5849" max="5849" width="9.6640625" style="3" customWidth="1"/>
    <col min="5850" max="5851" width="7.5" style="3" customWidth="1"/>
    <col min="5852" max="5852" width="4.6640625" style="3" customWidth="1"/>
    <col min="5853" max="5856" width="9" style="3"/>
    <col min="5857" max="5858" width="11.1640625" style="3" customWidth="1"/>
    <col min="5859" max="5860" width="8" style="3" customWidth="1"/>
    <col min="5861" max="5861" width="4.6640625" style="3" customWidth="1"/>
    <col min="5862" max="5863" width="11.1640625" style="3" customWidth="1"/>
    <col min="5864" max="6102" width="9" style="3"/>
    <col min="6103" max="6103" width="3" style="3" customWidth="1"/>
    <col min="6104" max="6104" width="12.1640625" style="3" customWidth="1"/>
    <col min="6105" max="6105" width="9.6640625" style="3" customWidth="1"/>
    <col min="6106" max="6107" width="7.5" style="3" customWidth="1"/>
    <col min="6108" max="6108" width="4.6640625" style="3" customWidth="1"/>
    <col min="6109" max="6112" width="9" style="3"/>
    <col min="6113" max="6114" width="11.1640625" style="3" customWidth="1"/>
    <col min="6115" max="6116" width="8" style="3" customWidth="1"/>
    <col min="6117" max="6117" width="4.6640625" style="3" customWidth="1"/>
    <col min="6118" max="6119" width="11.1640625" style="3" customWidth="1"/>
    <col min="6120" max="6358" width="9" style="3"/>
    <col min="6359" max="6359" width="3" style="3" customWidth="1"/>
    <col min="6360" max="6360" width="12.1640625" style="3" customWidth="1"/>
    <col min="6361" max="6361" width="9.6640625" style="3" customWidth="1"/>
    <col min="6362" max="6363" width="7.5" style="3" customWidth="1"/>
    <col min="6364" max="6364" width="4.6640625" style="3" customWidth="1"/>
    <col min="6365" max="6368" width="9" style="3"/>
    <col min="6369" max="6370" width="11.1640625" style="3" customWidth="1"/>
    <col min="6371" max="6372" width="8" style="3" customWidth="1"/>
    <col min="6373" max="6373" width="4.6640625" style="3" customWidth="1"/>
    <col min="6374" max="6375" width="11.1640625" style="3" customWidth="1"/>
    <col min="6376" max="6614" width="9" style="3"/>
    <col min="6615" max="6615" width="3" style="3" customWidth="1"/>
    <col min="6616" max="6616" width="12.1640625" style="3" customWidth="1"/>
    <col min="6617" max="6617" width="9.6640625" style="3" customWidth="1"/>
    <col min="6618" max="6619" width="7.5" style="3" customWidth="1"/>
    <col min="6620" max="6620" width="4.6640625" style="3" customWidth="1"/>
    <col min="6621" max="6624" width="9" style="3"/>
    <col min="6625" max="6626" width="11.1640625" style="3" customWidth="1"/>
    <col min="6627" max="6628" width="8" style="3" customWidth="1"/>
    <col min="6629" max="6629" width="4.6640625" style="3" customWidth="1"/>
    <col min="6630" max="6631" width="11.1640625" style="3" customWidth="1"/>
    <col min="6632" max="6870" width="9" style="3"/>
    <col min="6871" max="6871" width="3" style="3" customWidth="1"/>
    <col min="6872" max="6872" width="12.1640625" style="3" customWidth="1"/>
    <col min="6873" max="6873" width="9.6640625" style="3" customWidth="1"/>
    <col min="6874" max="6875" width="7.5" style="3" customWidth="1"/>
    <col min="6876" max="6876" width="4.6640625" style="3" customWidth="1"/>
    <col min="6877" max="6880" width="9" style="3"/>
    <col min="6881" max="6882" width="11.1640625" style="3" customWidth="1"/>
    <col min="6883" max="6884" width="8" style="3" customWidth="1"/>
    <col min="6885" max="6885" width="4.6640625" style="3" customWidth="1"/>
    <col min="6886" max="6887" width="11.1640625" style="3" customWidth="1"/>
    <col min="6888" max="7126" width="9" style="3"/>
    <col min="7127" max="7127" width="3" style="3" customWidth="1"/>
    <col min="7128" max="7128" width="12.1640625" style="3" customWidth="1"/>
    <col min="7129" max="7129" width="9.6640625" style="3" customWidth="1"/>
    <col min="7130" max="7131" width="7.5" style="3" customWidth="1"/>
    <col min="7132" max="7132" width="4.6640625" style="3" customWidth="1"/>
    <col min="7133" max="7136" width="9" style="3"/>
    <col min="7137" max="7138" width="11.1640625" style="3" customWidth="1"/>
    <col min="7139" max="7140" width="8" style="3" customWidth="1"/>
    <col min="7141" max="7141" width="4.6640625" style="3" customWidth="1"/>
    <col min="7142" max="7143" width="11.1640625" style="3" customWidth="1"/>
    <col min="7144" max="7382" width="9" style="3"/>
    <col min="7383" max="7383" width="3" style="3" customWidth="1"/>
    <col min="7384" max="7384" width="12.1640625" style="3" customWidth="1"/>
    <col min="7385" max="7385" width="9.6640625" style="3" customWidth="1"/>
    <col min="7386" max="7387" width="7.5" style="3" customWidth="1"/>
    <col min="7388" max="7388" width="4.6640625" style="3" customWidth="1"/>
    <col min="7389" max="7392" width="9" style="3"/>
    <col min="7393" max="7394" width="11.1640625" style="3" customWidth="1"/>
    <col min="7395" max="7396" width="8" style="3" customWidth="1"/>
    <col min="7397" max="7397" width="4.6640625" style="3" customWidth="1"/>
    <col min="7398" max="7399" width="11.1640625" style="3" customWidth="1"/>
    <col min="7400" max="7638" width="9" style="3"/>
    <col min="7639" max="7639" width="3" style="3" customWidth="1"/>
    <col min="7640" max="7640" width="12.1640625" style="3" customWidth="1"/>
    <col min="7641" max="7641" width="9.6640625" style="3" customWidth="1"/>
    <col min="7642" max="7643" width="7.5" style="3" customWidth="1"/>
    <col min="7644" max="7644" width="4.6640625" style="3" customWidth="1"/>
    <col min="7645" max="7648" width="9" style="3"/>
    <col min="7649" max="7650" width="11.1640625" style="3" customWidth="1"/>
    <col min="7651" max="7652" width="8" style="3" customWidth="1"/>
    <col min="7653" max="7653" width="4.6640625" style="3" customWidth="1"/>
    <col min="7654" max="7655" width="11.1640625" style="3" customWidth="1"/>
    <col min="7656" max="7894" width="9" style="3"/>
    <col min="7895" max="7895" width="3" style="3" customWidth="1"/>
    <col min="7896" max="7896" width="12.1640625" style="3" customWidth="1"/>
    <col min="7897" max="7897" width="9.6640625" style="3" customWidth="1"/>
    <col min="7898" max="7899" width="7.5" style="3" customWidth="1"/>
    <col min="7900" max="7900" width="4.6640625" style="3" customWidth="1"/>
    <col min="7901" max="7904" width="9" style="3"/>
    <col min="7905" max="7906" width="11.1640625" style="3" customWidth="1"/>
    <col min="7907" max="7908" width="8" style="3" customWidth="1"/>
    <col min="7909" max="7909" width="4.6640625" style="3" customWidth="1"/>
    <col min="7910" max="7911" width="11.1640625" style="3" customWidth="1"/>
    <col min="7912" max="8150" width="9" style="3"/>
    <col min="8151" max="8151" width="3" style="3" customWidth="1"/>
    <col min="8152" max="8152" width="12.1640625" style="3" customWidth="1"/>
    <col min="8153" max="8153" width="9.6640625" style="3" customWidth="1"/>
    <col min="8154" max="8155" width="7.5" style="3" customWidth="1"/>
    <col min="8156" max="8156" width="4.6640625" style="3" customWidth="1"/>
    <col min="8157" max="8160" width="9" style="3"/>
    <col min="8161" max="8162" width="11.1640625" style="3" customWidth="1"/>
    <col min="8163" max="8164" width="8" style="3" customWidth="1"/>
    <col min="8165" max="8165" width="4.6640625" style="3" customWidth="1"/>
    <col min="8166" max="8167" width="11.1640625" style="3" customWidth="1"/>
    <col min="8168" max="8406" width="9" style="3"/>
    <col min="8407" max="8407" width="3" style="3" customWidth="1"/>
    <col min="8408" max="8408" width="12.1640625" style="3" customWidth="1"/>
    <col min="8409" max="8409" width="9.6640625" style="3" customWidth="1"/>
    <col min="8410" max="8411" width="7.5" style="3" customWidth="1"/>
    <col min="8412" max="8412" width="4.6640625" style="3" customWidth="1"/>
    <col min="8413" max="8416" width="9" style="3"/>
    <col min="8417" max="8418" width="11.1640625" style="3" customWidth="1"/>
    <col min="8419" max="8420" width="8" style="3" customWidth="1"/>
    <col min="8421" max="8421" width="4.6640625" style="3" customWidth="1"/>
    <col min="8422" max="8423" width="11.1640625" style="3" customWidth="1"/>
    <col min="8424" max="8662" width="9" style="3"/>
    <col min="8663" max="8663" width="3" style="3" customWidth="1"/>
    <col min="8664" max="8664" width="12.1640625" style="3" customWidth="1"/>
    <col min="8665" max="8665" width="9.6640625" style="3" customWidth="1"/>
    <col min="8666" max="8667" width="7.5" style="3" customWidth="1"/>
    <col min="8668" max="8668" width="4.6640625" style="3" customWidth="1"/>
    <col min="8669" max="8672" width="9" style="3"/>
    <col min="8673" max="8674" width="11.1640625" style="3" customWidth="1"/>
    <col min="8675" max="8676" width="8" style="3" customWidth="1"/>
    <col min="8677" max="8677" width="4.6640625" style="3" customWidth="1"/>
    <col min="8678" max="8679" width="11.1640625" style="3" customWidth="1"/>
    <col min="8680" max="8918" width="9" style="3"/>
    <col min="8919" max="8919" width="3" style="3" customWidth="1"/>
    <col min="8920" max="8920" width="12.1640625" style="3" customWidth="1"/>
    <col min="8921" max="8921" width="9.6640625" style="3" customWidth="1"/>
    <col min="8922" max="8923" width="7.5" style="3" customWidth="1"/>
    <col min="8924" max="8924" width="4.6640625" style="3" customWidth="1"/>
    <col min="8925" max="8928" width="9" style="3"/>
    <col min="8929" max="8930" width="11.1640625" style="3" customWidth="1"/>
    <col min="8931" max="8932" width="8" style="3" customWidth="1"/>
    <col min="8933" max="8933" width="4.6640625" style="3" customWidth="1"/>
    <col min="8934" max="8935" width="11.1640625" style="3" customWidth="1"/>
    <col min="8936" max="9174" width="9" style="3"/>
    <col min="9175" max="9175" width="3" style="3" customWidth="1"/>
    <col min="9176" max="9176" width="12.1640625" style="3" customWidth="1"/>
    <col min="9177" max="9177" width="9.6640625" style="3" customWidth="1"/>
    <col min="9178" max="9179" width="7.5" style="3" customWidth="1"/>
    <col min="9180" max="9180" width="4.6640625" style="3" customWidth="1"/>
    <col min="9181" max="9184" width="9" style="3"/>
    <col min="9185" max="9186" width="11.1640625" style="3" customWidth="1"/>
    <col min="9187" max="9188" width="8" style="3" customWidth="1"/>
    <col min="9189" max="9189" width="4.6640625" style="3" customWidth="1"/>
    <col min="9190" max="9191" width="11.1640625" style="3" customWidth="1"/>
    <col min="9192" max="9430" width="9" style="3"/>
    <col min="9431" max="9431" width="3" style="3" customWidth="1"/>
    <col min="9432" max="9432" width="12.1640625" style="3" customWidth="1"/>
    <col min="9433" max="9433" width="9.6640625" style="3" customWidth="1"/>
    <col min="9434" max="9435" width="7.5" style="3" customWidth="1"/>
    <col min="9436" max="9436" width="4.6640625" style="3" customWidth="1"/>
    <col min="9437" max="9440" width="9" style="3"/>
    <col min="9441" max="9442" width="11.1640625" style="3" customWidth="1"/>
    <col min="9443" max="9444" width="8" style="3" customWidth="1"/>
    <col min="9445" max="9445" width="4.6640625" style="3" customWidth="1"/>
    <col min="9446" max="9447" width="11.1640625" style="3" customWidth="1"/>
    <col min="9448" max="9686" width="9" style="3"/>
    <col min="9687" max="9687" width="3" style="3" customWidth="1"/>
    <col min="9688" max="9688" width="12.1640625" style="3" customWidth="1"/>
    <col min="9689" max="9689" width="9.6640625" style="3" customWidth="1"/>
    <col min="9690" max="9691" width="7.5" style="3" customWidth="1"/>
    <col min="9692" max="9692" width="4.6640625" style="3" customWidth="1"/>
    <col min="9693" max="9696" width="9" style="3"/>
    <col min="9697" max="9698" width="11.1640625" style="3" customWidth="1"/>
    <col min="9699" max="9700" width="8" style="3" customWidth="1"/>
    <col min="9701" max="9701" width="4.6640625" style="3" customWidth="1"/>
    <col min="9702" max="9703" width="11.1640625" style="3" customWidth="1"/>
    <col min="9704" max="9942" width="9" style="3"/>
    <col min="9943" max="9943" width="3" style="3" customWidth="1"/>
    <col min="9944" max="9944" width="12.1640625" style="3" customWidth="1"/>
    <col min="9945" max="9945" width="9.6640625" style="3" customWidth="1"/>
    <col min="9946" max="9947" width="7.5" style="3" customWidth="1"/>
    <col min="9948" max="9948" width="4.6640625" style="3" customWidth="1"/>
    <col min="9949" max="9952" width="9" style="3"/>
    <col min="9953" max="9954" width="11.1640625" style="3" customWidth="1"/>
    <col min="9955" max="9956" width="8" style="3" customWidth="1"/>
    <col min="9957" max="9957" width="4.6640625" style="3" customWidth="1"/>
    <col min="9958" max="9959" width="11.1640625" style="3" customWidth="1"/>
    <col min="9960" max="10198" width="9" style="3"/>
    <col min="10199" max="10199" width="3" style="3" customWidth="1"/>
    <col min="10200" max="10200" width="12.1640625" style="3" customWidth="1"/>
    <col min="10201" max="10201" width="9.6640625" style="3" customWidth="1"/>
    <col min="10202" max="10203" width="7.5" style="3" customWidth="1"/>
    <col min="10204" max="10204" width="4.6640625" style="3" customWidth="1"/>
    <col min="10205" max="10208" width="9" style="3"/>
    <col min="10209" max="10210" width="11.1640625" style="3" customWidth="1"/>
    <col min="10211" max="10212" width="8" style="3" customWidth="1"/>
    <col min="10213" max="10213" width="4.6640625" style="3" customWidth="1"/>
    <col min="10214" max="10215" width="11.1640625" style="3" customWidth="1"/>
    <col min="10216" max="10454" width="9" style="3"/>
    <col min="10455" max="10455" width="3" style="3" customWidth="1"/>
    <col min="10456" max="10456" width="12.1640625" style="3" customWidth="1"/>
    <col min="10457" max="10457" width="9.6640625" style="3" customWidth="1"/>
    <col min="10458" max="10459" width="7.5" style="3" customWidth="1"/>
    <col min="10460" max="10460" width="4.6640625" style="3" customWidth="1"/>
    <col min="10461" max="10464" width="9" style="3"/>
    <col min="10465" max="10466" width="11.1640625" style="3" customWidth="1"/>
    <col min="10467" max="10468" width="8" style="3" customWidth="1"/>
    <col min="10469" max="10469" width="4.6640625" style="3" customWidth="1"/>
    <col min="10470" max="10471" width="11.1640625" style="3" customWidth="1"/>
    <col min="10472" max="10710" width="9" style="3"/>
    <col min="10711" max="10711" width="3" style="3" customWidth="1"/>
    <col min="10712" max="10712" width="12.1640625" style="3" customWidth="1"/>
    <col min="10713" max="10713" width="9.6640625" style="3" customWidth="1"/>
    <col min="10714" max="10715" width="7.5" style="3" customWidth="1"/>
    <col min="10716" max="10716" width="4.6640625" style="3" customWidth="1"/>
    <col min="10717" max="10720" width="9" style="3"/>
    <col min="10721" max="10722" width="11.1640625" style="3" customWidth="1"/>
    <col min="10723" max="10724" width="8" style="3" customWidth="1"/>
    <col min="10725" max="10725" width="4.6640625" style="3" customWidth="1"/>
    <col min="10726" max="10727" width="11.1640625" style="3" customWidth="1"/>
    <col min="10728" max="10966" width="9" style="3"/>
    <col min="10967" max="10967" width="3" style="3" customWidth="1"/>
    <col min="10968" max="10968" width="12.1640625" style="3" customWidth="1"/>
    <col min="10969" max="10969" width="9.6640625" style="3" customWidth="1"/>
    <col min="10970" max="10971" width="7.5" style="3" customWidth="1"/>
    <col min="10972" max="10972" width="4.6640625" style="3" customWidth="1"/>
    <col min="10973" max="10976" width="9" style="3"/>
    <col min="10977" max="10978" width="11.1640625" style="3" customWidth="1"/>
    <col min="10979" max="10980" width="8" style="3" customWidth="1"/>
    <col min="10981" max="10981" width="4.6640625" style="3" customWidth="1"/>
    <col min="10982" max="10983" width="11.1640625" style="3" customWidth="1"/>
    <col min="10984" max="11222" width="9" style="3"/>
    <col min="11223" max="11223" width="3" style="3" customWidth="1"/>
    <col min="11224" max="11224" width="12.1640625" style="3" customWidth="1"/>
    <col min="11225" max="11225" width="9.6640625" style="3" customWidth="1"/>
    <col min="11226" max="11227" width="7.5" style="3" customWidth="1"/>
    <col min="11228" max="11228" width="4.6640625" style="3" customWidth="1"/>
    <col min="11229" max="11232" width="9" style="3"/>
    <col min="11233" max="11234" width="11.1640625" style="3" customWidth="1"/>
    <col min="11235" max="11236" width="8" style="3" customWidth="1"/>
    <col min="11237" max="11237" width="4.6640625" style="3" customWidth="1"/>
    <col min="11238" max="11239" width="11.1640625" style="3" customWidth="1"/>
    <col min="11240" max="11478" width="9" style="3"/>
    <col min="11479" max="11479" width="3" style="3" customWidth="1"/>
    <col min="11480" max="11480" width="12.1640625" style="3" customWidth="1"/>
    <col min="11481" max="11481" width="9.6640625" style="3" customWidth="1"/>
    <col min="11482" max="11483" width="7.5" style="3" customWidth="1"/>
    <col min="11484" max="11484" width="4.6640625" style="3" customWidth="1"/>
    <col min="11485" max="11488" width="9" style="3"/>
    <col min="11489" max="11490" width="11.1640625" style="3" customWidth="1"/>
    <col min="11491" max="11492" width="8" style="3" customWidth="1"/>
    <col min="11493" max="11493" width="4.6640625" style="3" customWidth="1"/>
    <col min="11494" max="11495" width="11.1640625" style="3" customWidth="1"/>
    <col min="11496" max="11734" width="9" style="3"/>
    <col min="11735" max="11735" width="3" style="3" customWidth="1"/>
    <col min="11736" max="11736" width="12.1640625" style="3" customWidth="1"/>
    <col min="11737" max="11737" width="9.6640625" style="3" customWidth="1"/>
    <col min="11738" max="11739" width="7.5" style="3" customWidth="1"/>
    <col min="11740" max="11740" width="4.6640625" style="3" customWidth="1"/>
    <col min="11741" max="11744" width="9" style="3"/>
    <col min="11745" max="11746" width="11.1640625" style="3" customWidth="1"/>
    <col min="11747" max="11748" width="8" style="3" customWidth="1"/>
    <col min="11749" max="11749" width="4.6640625" style="3" customWidth="1"/>
    <col min="11750" max="11751" width="11.1640625" style="3" customWidth="1"/>
    <col min="11752" max="11990" width="9" style="3"/>
    <col min="11991" max="11991" width="3" style="3" customWidth="1"/>
    <col min="11992" max="11992" width="12.1640625" style="3" customWidth="1"/>
    <col min="11993" max="11993" width="9.6640625" style="3" customWidth="1"/>
    <col min="11994" max="11995" width="7.5" style="3" customWidth="1"/>
    <col min="11996" max="11996" width="4.6640625" style="3" customWidth="1"/>
    <col min="11997" max="12000" width="9" style="3"/>
    <col min="12001" max="12002" width="11.1640625" style="3" customWidth="1"/>
    <col min="12003" max="12004" width="8" style="3" customWidth="1"/>
    <col min="12005" max="12005" width="4.6640625" style="3" customWidth="1"/>
    <col min="12006" max="12007" width="11.1640625" style="3" customWidth="1"/>
    <col min="12008" max="12246" width="9" style="3"/>
    <col min="12247" max="12247" width="3" style="3" customWidth="1"/>
    <col min="12248" max="12248" width="12.1640625" style="3" customWidth="1"/>
    <col min="12249" max="12249" width="9.6640625" style="3" customWidth="1"/>
    <col min="12250" max="12251" width="7.5" style="3" customWidth="1"/>
    <col min="12252" max="12252" width="4.6640625" style="3" customWidth="1"/>
    <col min="12253" max="12256" width="9" style="3"/>
    <col min="12257" max="12258" width="11.1640625" style="3" customWidth="1"/>
    <col min="12259" max="12260" width="8" style="3" customWidth="1"/>
    <col min="12261" max="12261" width="4.6640625" style="3" customWidth="1"/>
    <col min="12262" max="12263" width="11.1640625" style="3" customWidth="1"/>
    <col min="12264" max="12502" width="9" style="3"/>
    <col min="12503" max="12503" width="3" style="3" customWidth="1"/>
    <col min="12504" max="12504" width="12.1640625" style="3" customWidth="1"/>
    <col min="12505" max="12505" width="9.6640625" style="3" customWidth="1"/>
    <col min="12506" max="12507" width="7.5" style="3" customWidth="1"/>
    <col min="12508" max="12508" width="4.6640625" style="3" customWidth="1"/>
    <col min="12509" max="12512" width="9" style="3"/>
    <col min="12513" max="12514" width="11.1640625" style="3" customWidth="1"/>
    <col min="12515" max="12516" width="8" style="3" customWidth="1"/>
    <col min="12517" max="12517" width="4.6640625" style="3" customWidth="1"/>
    <col min="12518" max="12519" width="11.1640625" style="3" customWidth="1"/>
    <col min="12520" max="12758" width="9" style="3"/>
    <col min="12759" max="12759" width="3" style="3" customWidth="1"/>
    <col min="12760" max="12760" width="12.1640625" style="3" customWidth="1"/>
    <col min="12761" max="12761" width="9.6640625" style="3" customWidth="1"/>
    <col min="12762" max="12763" width="7.5" style="3" customWidth="1"/>
    <col min="12764" max="12764" width="4.6640625" style="3" customWidth="1"/>
    <col min="12765" max="12768" width="9" style="3"/>
    <col min="12769" max="12770" width="11.1640625" style="3" customWidth="1"/>
    <col min="12771" max="12772" width="8" style="3" customWidth="1"/>
    <col min="12773" max="12773" width="4.6640625" style="3" customWidth="1"/>
    <col min="12774" max="12775" width="11.1640625" style="3" customWidth="1"/>
    <col min="12776" max="13014" width="9" style="3"/>
    <col min="13015" max="13015" width="3" style="3" customWidth="1"/>
    <col min="13016" max="13016" width="12.1640625" style="3" customWidth="1"/>
    <col min="13017" max="13017" width="9.6640625" style="3" customWidth="1"/>
    <col min="13018" max="13019" width="7.5" style="3" customWidth="1"/>
    <col min="13020" max="13020" width="4.6640625" style="3" customWidth="1"/>
    <col min="13021" max="13024" width="9" style="3"/>
    <col min="13025" max="13026" width="11.1640625" style="3" customWidth="1"/>
    <col min="13027" max="13028" width="8" style="3" customWidth="1"/>
    <col min="13029" max="13029" width="4.6640625" style="3" customWidth="1"/>
    <col min="13030" max="13031" width="11.1640625" style="3" customWidth="1"/>
    <col min="13032" max="13270" width="9" style="3"/>
    <col min="13271" max="13271" width="3" style="3" customWidth="1"/>
    <col min="13272" max="13272" width="12.1640625" style="3" customWidth="1"/>
    <col min="13273" max="13273" width="9.6640625" style="3" customWidth="1"/>
    <col min="13274" max="13275" width="7.5" style="3" customWidth="1"/>
    <col min="13276" max="13276" width="4.6640625" style="3" customWidth="1"/>
    <col min="13277" max="13280" width="9" style="3"/>
    <col min="13281" max="13282" width="11.1640625" style="3" customWidth="1"/>
    <col min="13283" max="13284" width="8" style="3" customWidth="1"/>
    <col min="13285" max="13285" width="4.6640625" style="3" customWidth="1"/>
    <col min="13286" max="13287" width="11.1640625" style="3" customWidth="1"/>
    <col min="13288" max="13526" width="9" style="3"/>
    <col min="13527" max="13527" width="3" style="3" customWidth="1"/>
    <col min="13528" max="13528" width="12.1640625" style="3" customWidth="1"/>
    <col min="13529" max="13529" width="9.6640625" style="3" customWidth="1"/>
    <col min="13530" max="13531" width="7.5" style="3" customWidth="1"/>
    <col min="13532" max="13532" width="4.6640625" style="3" customWidth="1"/>
    <col min="13533" max="13536" width="9" style="3"/>
    <col min="13537" max="13538" width="11.1640625" style="3" customWidth="1"/>
    <col min="13539" max="13540" width="8" style="3" customWidth="1"/>
    <col min="13541" max="13541" width="4.6640625" style="3" customWidth="1"/>
    <col min="13542" max="13543" width="11.1640625" style="3" customWidth="1"/>
    <col min="13544" max="13782" width="9" style="3"/>
    <col min="13783" max="13783" width="3" style="3" customWidth="1"/>
    <col min="13784" max="13784" width="12.1640625" style="3" customWidth="1"/>
    <col min="13785" max="13785" width="9.6640625" style="3" customWidth="1"/>
    <col min="13786" max="13787" width="7.5" style="3" customWidth="1"/>
    <col min="13788" max="13788" width="4.6640625" style="3" customWidth="1"/>
    <col min="13789" max="13792" width="9" style="3"/>
    <col min="13793" max="13794" width="11.1640625" style="3" customWidth="1"/>
    <col min="13795" max="13796" width="8" style="3" customWidth="1"/>
    <col min="13797" max="13797" width="4.6640625" style="3" customWidth="1"/>
    <col min="13798" max="13799" width="11.1640625" style="3" customWidth="1"/>
    <col min="13800" max="14038" width="9" style="3"/>
    <col min="14039" max="14039" width="3" style="3" customWidth="1"/>
    <col min="14040" max="14040" width="12.1640625" style="3" customWidth="1"/>
    <col min="14041" max="14041" width="9.6640625" style="3" customWidth="1"/>
    <col min="14042" max="14043" width="7.5" style="3" customWidth="1"/>
    <col min="14044" max="14044" width="4.6640625" style="3" customWidth="1"/>
    <col min="14045" max="14048" width="9" style="3"/>
    <col min="14049" max="14050" width="11.1640625" style="3" customWidth="1"/>
    <col min="14051" max="14052" width="8" style="3" customWidth="1"/>
    <col min="14053" max="14053" width="4.6640625" style="3" customWidth="1"/>
    <col min="14054" max="14055" width="11.1640625" style="3" customWidth="1"/>
    <col min="14056" max="14294" width="9" style="3"/>
    <col min="14295" max="14295" width="3" style="3" customWidth="1"/>
    <col min="14296" max="14296" width="12.1640625" style="3" customWidth="1"/>
    <col min="14297" max="14297" width="9.6640625" style="3" customWidth="1"/>
    <col min="14298" max="14299" width="7.5" style="3" customWidth="1"/>
    <col min="14300" max="14300" width="4.6640625" style="3" customWidth="1"/>
    <col min="14301" max="14304" width="9" style="3"/>
    <col min="14305" max="14306" width="11.1640625" style="3" customWidth="1"/>
    <col min="14307" max="14308" width="8" style="3" customWidth="1"/>
    <col min="14309" max="14309" width="4.6640625" style="3" customWidth="1"/>
    <col min="14310" max="14311" width="11.1640625" style="3" customWidth="1"/>
    <col min="14312" max="14550" width="9" style="3"/>
    <col min="14551" max="14551" width="3" style="3" customWidth="1"/>
    <col min="14552" max="14552" width="12.1640625" style="3" customWidth="1"/>
    <col min="14553" max="14553" width="9.6640625" style="3" customWidth="1"/>
    <col min="14554" max="14555" width="7.5" style="3" customWidth="1"/>
    <col min="14556" max="14556" width="4.6640625" style="3" customWidth="1"/>
    <col min="14557" max="14560" width="9" style="3"/>
    <col min="14561" max="14562" width="11.1640625" style="3" customWidth="1"/>
    <col min="14563" max="14564" width="8" style="3" customWidth="1"/>
    <col min="14565" max="14565" width="4.6640625" style="3" customWidth="1"/>
    <col min="14566" max="14567" width="11.1640625" style="3" customWidth="1"/>
    <col min="14568" max="14806" width="9" style="3"/>
    <col min="14807" max="14807" width="3" style="3" customWidth="1"/>
    <col min="14808" max="14808" width="12.1640625" style="3" customWidth="1"/>
    <col min="14809" max="14809" width="9.6640625" style="3" customWidth="1"/>
    <col min="14810" max="14811" width="7.5" style="3" customWidth="1"/>
    <col min="14812" max="14812" width="4.6640625" style="3" customWidth="1"/>
    <col min="14813" max="14816" width="9" style="3"/>
    <col min="14817" max="14818" width="11.1640625" style="3" customWidth="1"/>
    <col min="14819" max="14820" width="8" style="3" customWidth="1"/>
    <col min="14821" max="14821" width="4.6640625" style="3" customWidth="1"/>
    <col min="14822" max="14823" width="11.1640625" style="3" customWidth="1"/>
    <col min="14824" max="15062" width="9" style="3"/>
    <col min="15063" max="15063" width="3" style="3" customWidth="1"/>
    <col min="15064" max="15064" width="12.1640625" style="3" customWidth="1"/>
    <col min="15065" max="15065" width="9.6640625" style="3" customWidth="1"/>
    <col min="15066" max="15067" width="7.5" style="3" customWidth="1"/>
    <col min="15068" max="15068" width="4.6640625" style="3" customWidth="1"/>
    <col min="15069" max="15072" width="9" style="3"/>
    <col min="15073" max="15074" width="11.1640625" style="3" customWidth="1"/>
    <col min="15075" max="15076" width="8" style="3" customWidth="1"/>
    <col min="15077" max="15077" width="4.6640625" style="3" customWidth="1"/>
    <col min="15078" max="15079" width="11.1640625" style="3" customWidth="1"/>
    <col min="15080" max="15318" width="9" style="3"/>
    <col min="15319" max="15319" width="3" style="3" customWidth="1"/>
    <col min="15320" max="15320" width="12.1640625" style="3" customWidth="1"/>
    <col min="15321" max="15321" width="9.6640625" style="3" customWidth="1"/>
    <col min="15322" max="15323" width="7.5" style="3" customWidth="1"/>
    <col min="15324" max="15324" width="4.6640625" style="3" customWidth="1"/>
    <col min="15325" max="15328" width="9" style="3"/>
    <col min="15329" max="15330" width="11.1640625" style="3" customWidth="1"/>
    <col min="15331" max="15332" width="8" style="3" customWidth="1"/>
    <col min="15333" max="15333" width="4.6640625" style="3" customWidth="1"/>
    <col min="15334" max="15335" width="11.1640625" style="3" customWidth="1"/>
    <col min="15336" max="15574" width="9" style="3"/>
    <col min="15575" max="15575" width="3" style="3" customWidth="1"/>
    <col min="15576" max="15576" width="12.1640625" style="3" customWidth="1"/>
    <col min="15577" max="15577" width="9.6640625" style="3" customWidth="1"/>
    <col min="15578" max="15579" width="7.5" style="3" customWidth="1"/>
    <col min="15580" max="15580" width="4.6640625" style="3" customWidth="1"/>
    <col min="15581" max="15584" width="9" style="3"/>
    <col min="15585" max="15586" width="11.1640625" style="3" customWidth="1"/>
    <col min="15587" max="15588" width="8" style="3" customWidth="1"/>
    <col min="15589" max="15589" width="4.6640625" style="3" customWidth="1"/>
    <col min="15590" max="15591" width="11.1640625" style="3" customWidth="1"/>
    <col min="15592" max="15830" width="9" style="3"/>
    <col min="15831" max="15831" width="3" style="3" customWidth="1"/>
    <col min="15832" max="15832" width="12.1640625" style="3" customWidth="1"/>
    <col min="15833" max="15833" width="9.6640625" style="3" customWidth="1"/>
    <col min="15834" max="15835" width="7.5" style="3" customWidth="1"/>
    <col min="15836" max="15836" width="4.6640625" style="3" customWidth="1"/>
    <col min="15837" max="15840" width="9" style="3"/>
    <col min="15841" max="15842" width="11.1640625" style="3" customWidth="1"/>
    <col min="15843" max="15844" width="8" style="3" customWidth="1"/>
    <col min="15845" max="15845" width="4.6640625" style="3" customWidth="1"/>
    <col min="15846" max="15847" width="11.1640625" style="3" customWidth="1"/>
    <col min="15848" max="16086" width="9" style="3"/>
    <col min="16087" max="16087" width="3" style="3" customWidth="1"/>
    <col min="16088" max="16088" width="12.1640625" style="3" customWidth="1"/>
    <col min="16089" max="16089" width="9.6640625" style="3" customWidth="1"/>
    <col min="16090" max="16091" width="7.5" style="3" customWidth="1"/>
    <col min="16092" max="16092" width="4.6640625" style="3" customWidth="1"/>
    <col min="16093" max="16096" width="9" style="3"/>
    <col min="16097" max="16098" width="11.1640625" style="3" customWidth="1"/>
    <col min="16099" max="16100" width="8" style="3" customWidth="1"/>
    <col min="16101" max="16101" width="4.6640625" style="3" customWidth="1"/>
    <col min="16102" max="16103" width="11.1640625" style="3" customWidth="1"/>
    <col min="16104" max="16384" width="9" style="3"/>
  </cols>
  <sheetData>
    <row r="1" spans="1:14" ht="15" customHeight="1">
      <c r="A1" s="16" t="s">
        <v>17</v>
      </c>
      <c r="B1" s="16" t="s">
        <v>18</v>
      </c>
      <c r="C1" s="16" t="s">
        <v>19</v>
      </c>
      <c r="E1" s="16" t="s">
        <v>20</v>
      </c>
      <c r="F1" s="16" t="s">
        <v>24</v>
      </c>
      <c r="G1" s="16" t="s">
        <v>22</v>
      </c>
      <c r="I1" s="17" t="s">
        <v>27</v>
      </c>
      <c r="J1" s="17" t="s">
        <v>28</v>
      </c>
      <c r="K1" s="17" t="s">
        <v>29</v>
      </c>
      <c r="M1" s="17" t="s">
        <v>31</v>
      </c>
      <c r="N1" s="17" t="s">
        <v>32</v>
      </c>
    </row>
    <row r="2" spans="1:14" ht="15" customHeight="1">
      <c r="A2" s="6">
        <v>0.375</v>
      </c>
      <c r="B2" s="3">
        <v>90</v>
      </c>
      <c r="C2" s="6">
        <f>A2+(B2/24/60)</f>
        <v>0.4375</v>
      </c>
      <c r="E2" s="4">
        <v>41441</v>
      </c>
      <c r="F2" s="3">
        <v>4</v>
      </c>
      <c r="G2" s="4">
        <f>DATE(YEAR(E2),MONTH(E2)+F2,DAY(E2))</f>
        <v>41563</v>
      </c>
      <c r="I2" s="2">
        <v>37509</v>
      </c>
      <c r="J2" s="2">
        <v>41162</v>
      </c>
      <c r="K2" s="1">
        <f>DATEDIF(I2,J2,"y")</f>
        <v>10</v>
      </c>
      <c r="M2" s="2">
        <v>40978</v>
      </c>
      <c r="N2" s="3" t="str">
        <f>"第"&amp;WEEKDAY(M2,2)&amp;"周"</f>
        <v>第6周</v>
      </c>
    </row>
    <row r="3" spans="1:14" ht="15" customHeight="1">
      <c r="A3" s="6">
        <v>0.51388888888888895</v>
      </c>
      <c r="B3" s="3">
        <v>70</v>
      </c>
      <c r="C3" s="6">
        <f t="shared" ref="C3:C4" si="0">A3+(B3/24/60)</f>
        <v>0.56250000000000011</v>
      </c>
      <c r="E3" s="4">
        <v>41129</v>
      </c>
      <c r="F3" s="3">
        <v>3</v>
      </c>
      <c r="G3" s="4">
        <f>DATE(YEAR(E3),MONTH(E3)+F3,DAY(E3))</f>
        <v>41221</v>
      </c>
      <c r="I3"/>
      <c r="J3"/>
      <c r="K3"/>
      <c r="M3"/>
      <c r="N3"/>
    </row>
    <row r="4" spans="1:14" ht="15" customHeight="1">
      <c r="A4" s="6">
        <v>0.77777777777777801</v>
      </c>
      <c r="B4" s="3">
        <v>150</v>
      </c>
      <c r="C4" s="6">
        <f t="shared" si="0"/>
        <v>0.88194444444444464</v>
      </c>
      <c r="E4"/>
      <c r="F4"/>
      <c r="G4"/>
      <c r="H4" s="7"/>
      <c r="I4"/>
      <c r="J4"/>
      <c r="K4"/>
      <c r="M4"/>
      <c r="N4"/>
    </row>
    <row r="5" spans="1:14" ht="15" customHeight="1">
      <c r="E5"/>
      <c r="F5"/>
      <c r="G5"/>
      <c r="I5" s="17" t="s">
        <v>27</v>
      </c>
      <c r="J5" s="17" t="s">
        <v>28</v>
      </c>
      <c r="K5" s="17" t="s">
        <v>30</v>
      </c>
      <c r="M5" s="17" t="s">
        <v>31</v>
      </c>
      <c r="N5" s="17" t="s">
        <v>33</v>
      </c>
    </row>
    <row r="6" spans="1:14" ht="15" customHeight="1">
      <c r="A6" s="16" t="s">
        <v>17</v>
      </c>
      <c r="B6" s="16" t="s">
        <v>19</v>
      </c>
      <c r="C6" s="16" t="s">
        <v>41</v>
      </c>
      <c r="E6" s="16" t="s">
        <v>20</v>
      </c>
      <c r="F6" s="16" t="s">
        <v>25</v>
      </c>
      <c r="G6"/>
      <c r="I6" s="2">
        <v>37509</v>
      </c>
      <c r="J6" s="2">
        <v>39634</v>
      </c>
      <c r="K6" s="1" t="str">
        <f>DATEDIF(I6,J6,"y")&amp;"年"&amp;DATEDIF(I6,J6,"ym")&amp;"月"&amp;DATEDIF(I6,J6,"md")&amp;"天"</f>
        <v>5年9月25天</v>
      </c>
      <c r="M6" s="2">
        <v>40978</v>
      </c>
      <c r="N6" s="15">
        <f>WEEKDAY(M6,2)</f>
        <v>6</v>
      </c>
    </row>
    <row r="7" spans="1:14" ht="15" customHeight="1">
      <c r="A7" s="6">
        <v>0.375</v>
      </c>
      <c r="B7" s="6">
        <v>0.5</v>
      </c>
      <c r="C7" s="3">
        <f>(B7-A7)*24*60</f>
        <v>180</v>
      </c>
      <c r="E7" s="4">
        <v>41441</v>
      </c>
      <c r="F7" s="4">
        <f>DATE(YEAR(E7),MONTH(E7)+1,0)</f>
        <v>41455</v>
      </c>
      <c r="G7"/>
      <c r="I7" s="2">
        <v>38123</v>
      </c>
      <c r="J7" s="2">
        <v>39865</v>
      </c>
      <c r="K7" s="1" t="str">
        <f>DATEDIF(I7,J7,"y")&amp;"年"&amp;DATEDIF(I7,J7,"ym")&amp;"月"&amp;DATEDIF(I7,J7,"md")&amp;"天"</f>
        <v>4年9月5天</v>
      </c>
    </row>
    <row r="8" spans="1:14" ht="15" customHeight="1">
      <c r="A8" s="6">
        <v>0.51388888888888895</v>
      </c>
      <c r="B8" s="6">
        <v>0.75</v>
      </c>
      <c r="C8" s="3">
        <f t="shared" ref="C8:C9" si="1">(B8-A8)*24*60</f>
        <v>339.99999999999989</v>
      </c>
      <c r="E8" s="4">
        <v>41129</v>
      </c>
      <c r="F8" s="4">
        <f>DATE(YEAR(E8),MONTH(E8)+1,0)</f>
        <v>41152</v>
      </c>
      <c r="G8"/>
      <c r="I8" s="2">
        <v>40314</v>
      </c>
      <c r="J8" s="2">
        <v>40431</v>
      </c>
      <c r="K8" s="1" t="str">
        <f>DATEDIF(I8,J8,"y")&amp;"年"&amp;DATEDIF(I8,J8,"ym")&amp;"月"&amp;DATEDIF(I8,J8,"md")&amp;"天"</f>
        <v>0年3月25天</v>
      </c>
      <c r="M8"/>
      <c r="N8"/>
    </row>
    <row r="9" spans="1:14" ht="15" customHeight="1">
      <c r="A9" s="6">
        <v>0.77777777777777801</v>
      </c>
      <c r="B9" s="6">
        <v>0.85416666666666696</v>
      </c>
      <c r="C9" s="3">
        <f t="shared" si="1"/>
        <v>110.00000000000009</v>
      </c>
      <c r="E9" s="5">
        <v>39489</v>
      </c>
      <c r="F9" s="4">
        <f>DATE(YEAR(E9),MONTH(E9)+1,0)</f>
        <v>39507</v>
      </c>
      <c r="G9"/>
      <c r="M9" s="17" t="s">
        <v>31</v>
      </c>
      <c r="N9" s="17" t="s">
        <v>34</v>
      </c>
    </row>
    <row r="10" spans="1:14" ht="15" customHeight="1">
      <c r="E10" s="5">
        <v>39855</v>
      </c>
      <c r="F10" s="4">
        <f>DATE(YEAR(E10),MONTH(E10)+1,0)</f>
        <v>39872</v>
      </c>
      <c r="G10"/>
      <c r="M10" s="2">
        <v>40978</v>
      </c>
      <c r="N10" s="3" t="str">
        <f>"第"&amp;WEEKDAY(M10,2)&amp;"周"&amp;"第"&amp;WEEKNUM(M10,2)&amp;"天"</f>
        <v>第6周第11天</v>
      </c>
    </row>
    <row r="11" spans="1:14" ht="15" customHeight="1">
      <c r="A11" s="16" t="s">
        <v>20</v>
      </c>
      <c r="B11" s="16" t="s">
        <v>21</v>
      </c>
      <c r="C11" s="16" t="s">
        <v>22</v>
      </c>
      <c r="E11"/>
      <c r="F11"/>
      <c r="G11"/>
    </row>
    <row r="12" spans="1:14" ht="15" customHeight="1">
      <c r="A12" s="4">
        <v>41441</v>
      </c>
      <c r="B12" s="3">
        <v>70</v>
      </c>
      <c r="C12" s="4">
        <f>A12+B12</f>
        <v>41511</v>
      </c>
      <c r="E12"/>
      <c r="F12"/>
      <c r="G12"/>
    </row>
    <row r="13" spans="1:14" ht="15" customHeight="1">
      <c r="A13" s="4">
        <v>41129</v>
      </c>
      <c r="B13" s="3">
        <v>90</v>
      </c>
      <c r="C13" s="4">
        <f>A13+B13</f>
        <v>41219</v>
      </c>
      <c r="E13" s="16" t="s">
        <v>20</v>
      </c>
      <c r="F13" s="16" t="s">
        <v>26</v>
      </c>
      <c r="G13"/>
      <c r="M13" s="17" t="s">
        <v>31</v>
      </c>
      <c r="N13" s="17" t="s">
        <v>39</v>
      </c>
    </row>
    <row r="14" spans="1:14" ht="15" customHeight="1">
      <c r="E14" s="4">
        <v>41441</v>
      </c>
      <c r="F14" s="3">
        <f>DAY(DATE(YEAR(E14),MONTH(E14)+1,0))</f>
        <v>30</v>
      </c>
      <c r="G14"/>
      <c r="M14" s="2">
        <v>40978</v>
      </c>
      <c r="N14" s="1" t="str">
        <f>TEXT(M14,"yyyy")</f>
        <v>2012</v>
      </c>
    </row>
    <row r="15" spans="1:14" ht="15" customHeight="1">
      <c r="A15" s="16" t="s">
        <v>20</v>
      </c>
      <c r="B15" s="16" t="s">
        <v>22</v>
      </c>
      <c r="C15" s="16" t="s">
        <v>23</v>
      </c>
      <c r="E15" s="4">
        <v>41129</v>
      </c>
      <c r="F15" s="3">
        <f>DAY(DATE(YEAR(E15),MONTH(E15)+1,0))</f>
        <v>31</v>
      </c>
      <c r="G15"/>
      <c r="I15" s="2"/>
      <c r="J15"/>
    </row>
    <row r="16" spans="1:14" ht="15" customHeight="1">
      <c r="A16" s="4">
        <v>41441</v>
      </c>
      <c r="B16" s="4">
        <v>41510</v>
      </c>
      <c r="C16" s="3">
        <f>B16-A16</f>
        <v>69</v>
      </c>
      <c r="E16" s="5">
        <v>39489</v>
      </c>
      <c r="F16" s="3">
        <f>DAY(DATE(YEAR(E16),MONTH(E16)+1,0))</f>
        <v>29</v>
      </c>
      <c r="G16"/>
      <c r="I16" s="2"/>
      <c r="J16"/>
    </row>
    <row r="17" spans="1:14" ht="15" customHeight="1">
      <c r="A17" s="4">
        <v>41129</v>
      </c>
      <c r="B17" s="4">
        <v>41275</v>
      </c>
      <c r="C17" s="3">
        <f>B17-A17</f>
        <v>146</v>
      </c>
      <c r="E17" s="5">
        <v>39855</v>
      </c>
      <c r="F17" s="3">
        <f>DAY(DATE(YEAR(E17),MONTH(E17)+1,0))</f>
        <v>28</v>
      </c>
      <c r="G17"/>
      <c r="M17" s="17" t="s">
        <v>35</v>
      </c>
      <c r="N17" s="17" t="s">
        <v>36</v>
      </c>
    </row>
    <row r="18" spans="1:14" ht="15" customHeight="1">
      <c r="M18" s="1">
        <v>20130616</v>
      </c>
      <c r="N18" s="1" t="str">
        <f>TEXT(M18,"0000-00-00")</f>
        <v>2013-06-16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EXCEL课件</vt:lpstr>
      <vt:lpstr>日期与时间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王佩丰</dc:creator>
  <cp:lastModifiedBy>a30517</cp:lastModifiedBy>
  <cp:lastPrinted>2009-11-19T17:11:00Z</cp:lastPrinted>
  <dcterms:created xsi:type="dcterms:W3CDTF">1996-12-17T09:32:00Z</dcterms:created>
  <dcterms:modified xsi:type="dcterms:W3CDTF">2026-09-09T09:06:43Z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0892791E87E06A041F3C536A7031FF42_42</vt:lpwstr>
  </property>
  <property fmtid="{D5CDD505-2E9C-101B-9397-08002B2CF9AE}" pid="3" name="KSOProductBuildVer">
    <vt:lpwstr>2052-12.1.26035.26035</vt:lpwstr>
  </property>
  <property fmtid="{D5CDD505-2E9C-101B-9397-08002B2CF9AE}" pid="4" name="CalculationRule">
    <vt:i4>0</vt:i4>
  </property>
</Properties>
</file>